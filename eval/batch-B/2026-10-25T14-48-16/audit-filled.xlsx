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3660"/>
  </bookViews>
  <sheets>
    <sheet name="说明 How to" sheetId="1" r:id="rId1"/>
    <sheet name="核对 Audit" sheetId="2" r:id="rId2"/>
    <sheet name="汇总 Summary" sheetId="3" r:id="rId3"/>
  </sheets>
  <definedNames>
    <definedName name="_xlnm._FilterDatabase" localSheetId="1" hidden="1">'核对 Audit'!$A$1:$O$51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<sst xmlns="http://schemas.openxmlformats.org/spreadsheetml/2006/main" count="687" uniqueCount="277">
  <si>
    <t>Batch B 人工核对表 · Harper audit sheet (measure 1)</t>
  </si>
  <si>
    <t>抽样：Batch B（v2.3，2026-10-25）保留下来的 80 条事实里抽了 50 条（每题约 5 条，定价和重查过的全部纳入；随机种子 20261026，可复现）。</t>
  </si>
  <si>
    <t>每一行做四项检查，在 J–M 列选 Y 或 N：</t>
  </si>
  <si>
    <t xml:space="preserve">  J 链接能打开 Link opens：点 F/G 列的链接，页面能打开（不是 404、不是要登录）。</t>
  </si>
  <si>
    <t xml:space="preserve">  K 原文在页面上 Text on page：在页面里能找到支持这个值的文字（Cmd+F 搜关键词）。</t>
  </si>
  <si>
    <t xml:space="preserve">  L 来源可信且标注正确 Source credible &amp; labelled：官网就该是该公司自己的域名；第三方/新闻/搜索收录要是可信来源，且 H 列标注没标错（比如不是第三方却标成官网）。</t>
  </si>
  <si>
    <t xml:space="preserve">  M 数值一致 Value matches：E 列的值和页面上写的一致（价格、人数、日期等）。</t>
  </si>
  <si>
    <t>N 列自动计算：四项都是 Y 才算正确。拿不准写在 O 列备注。</t>
  </si>
  <si>
    <t>定价那几行内容较多：抽查主要价格（套餐和单价）+ 任意一个子项即可，有一项错就算 N，并在备注写哪项错。</t>
  </si>
  <si>
    <t>开始和结束时间请填在「汇总 Summary」页（用于指标 4：核对用时）。</t>
  </si>
  <si>
    <t>门槛：≥90% 正确为达成；&lt;80% 为证伪（F1）。</t>
  </si>
  <si>
    <t>#</t>
  </si>
  <si>
    <t>题号 Q</t>
  </si>
  <si>
    <t>问题 Question</t>
  </si>
  <si>
    <t>公司 Company</t>
  </si>
  <si>
    <t>字段 Field + 系统给出的值 Value</t>
  </si>
  <si>
    <t>来源 1 Source 1</t>
  </si>
  <si>
    <t>来源 2 Source 2</t>
  </si>
  <si>
    <t>来源标注 Label shown</t>
  </si>
  <si>
    <t>状态 Status</t>
  </si>
  <si>
    <t>J 链接能打开 (Y/N)</t>
  </si>
  <si>
    <t>K 原文在页面 (Y/N)</t>
  </si>
  <si>
    <t>L 来源可信且标注正确 (Y/N)</t>
  </si>
  <si>
    <t>M 数值一致 (Y/N)</t>
  </si>
  <si>
    <t>N 正确? Correct</t>
  </si>
  <si>
    <t>O 备注 Notes</t>
  </si>
  <si>
    <t>Q01</t>
  </si>
  <si>
    <t>我们是做在线协作文档的，帮我找竞品</t>
  </si>
  <si>
    <t>石墨文档</t>
  </si>
  <si>
    <t>[overview]
武汉初心科技旗下在线协同文档品牌，提供文档、表格、幻灯片等云端Office套件，面向个人与企业团队</t>
  </si>
  <si>
    <t>https://shimo.im/about</t>
  </si>
  <si>
    <t>https://shimo.im</t>
  </si>
  <si>
    <t>官网 official / 官网 official</t>
  </si>
  <si>
    <t>通过 verified</t>
  </si>
  <si>
    <t>Y</t>
  </si>
  <si>
    <t>[人工核对] about 页写明武汉初心科技；首页写文档、表格、幻灯片等组成的「云端 Office」</t>
  </si>
  <si>
    <t>腾讯文档</t>
  </si>
  <si>
    <t>[overview]
腾讯旗下多人协作在线文档平台，支持Word、Excel、PPT、PDF、收集表、思维导图等在线编辑与云端保存，面向个人和企业团队</t>
  </si>
  <si>
    <t>https://docs.qq.com</t>
  </si>
  <si>
    <t>https://www.cnpp.cn/pinpai/135822.html</t>
  </si>
  <si>
    <t>官网 official / 搜索收录 search</t>
  </si>
  <si>
    <t>[人工核对] 官网与十大品牌网均有 Word/Excel/PPT/PDF/收集表/思维导图</t>
  </si>
  <si>
    <t>[size]
100–499 人（开发屋，2023 年）</t>
  </si>
  <si>
    <t>https://www.kaifain.com/b/ae4b294ae802d3b1</t>
  </si>
  <si>
    <t/>
  </si>
  <si>
    <t>搜索收录 search</t>
  </si>
  <si>
    <t>[人工核对] 开发屋弹出 Cloudflare 真人验证，未能打开，需人工点验证后补核</t>
  </si>
  <si>
    <t>[region]
中国 · 武汉，在北京、上海、武汉、深圳设有分支机构和服务中心</t>
  </si>
  <si>
    <t>官网 official</t>
  </si>
  <si>
    <t>N</t>
  </si>
  <si>
    <t>[人工核对] 官网只写北京、上海、武汉设分支机构，没有「深圳」</t>
  </si>
  <si>
    <t>[funding]
2017 年获今日头条近亿元 B 轮投资；开发屋标注融资阶段为 B++ 轮（2023 年）</t>
  </si>
  <si>
    <t>[人工核对] 官网可见 2017 年今日头条近亿元 B 轮（对）；「B++ 轮」来源开发屋被 Cloudflare 验证拦住，未核</t>
  </si>
  <si>
    <t>Q02</t>
  </si>
  <si>
    <t>查一下 Notion、Coda、ClickUp 的基本信息</t>
  </si>
  <si>
    <t>Notion</t>
  </si>
  <si>
    <t>[pricing]
Free $0 / Plus $10 / Business $20（均每成员每月）/ Enterprise 定制价格
计价单位: 按成员（席位）每月计费
计费方式: 可选按月或按年付款，年付最多省 20%，价格以美元计
附加成本: Custom Agents 免费试用，之后每 1,000 个月度 Notion credits 收费 $10
免费策略: Free 计划 $0，个人页面与块不限量，2 人以上团队受限，单文件上传上限 5MB，页面历史 7 天
当前优惠: 年付相比月付最多可节省 20%</t>
  </si>
  <si>
    <t>https://www.notion.com/pricing</t>
  </si>
  <si>
    <t>[人工核对] $0/$10/$20/定制 与年付最多省 20% 均一致</t>
  </si>
  <si>
    <t>Coda</t>
  </si>
  <si>
    <t>[pricing]
自由 $0/文档制作者/月；专业版 $12/月（年付 $10）；团队 $36/月（年付 $30）；企业 定制
计价单位: 按每个 Doc Maker（文档制作者）每月计费，查看者不限
计费方式: 分月付与年付，年付更便宜：专业版 $10、团队 $30（美元）
免费策略: 自由计划 $0：无限编辑者与查看者，文档行数/对象有限，自动化每月35次、7天历史</t>
  </si>
  <si>
    <t>https://www.partnershare.cn/product/coda-coda/price</t>
  </si>
  <si>
    <t>重查后通过 re-queried</t>
  </si>
  <si>
    <t>[人工核对] 数值与 PartnerShare 页一致，但 PartnerShare 是第三方软件目录，却标成官网 official</t>
  </si>
  <si>
    <t>ClickUp</t>
  </si>
  <si>
    <t>[pricing]
Free Forever 免费 / Unlimited $7 每用户每月（年付）/ Business $12 每用户每月（年付）/ Enterprise 联系销售定制
计价单位: 按每用户每月计价，未注明最低席位数
计费方式: 价格分月付与年付，年付最高省33%；Unlimited 年付$7、月付$10，Business 年付$12、月付$19
附加成本: Business 含每月5K自动化（价值$100），Enterprise 含250K自动化（价值$750）；另有独立AI定价
免费策略: Free Forever 免费计划：任务和用户不限量，含白板但有限额，无需信用卡
当前优惠: 年付最高可省33%，AI 年付最高省20%</t>
  </si>
  <si>
    <t>https://clickup.com/pricing</t>
  </si>
  <si>
    <t>https://clickup.com/features/tasks</t>
  </si>
  <si>
    <t>[人工核对] Unlimited $7、Business $12（年付）、年付最高省 33%、Business 5K 自动化均一致</t>
  </si>
  <si>
    <t>[features]
任务管理、文档与Wiki、白板流程图、内置时间追踪与工时审批、AI Brain与Super Agents</t>
  </si>
  <si>
    <t>https://clickup.com/features/docs</t>
  </si>
  <si>
    <t>[人工核对] 任务、文档/Wiki、白板、时间追踪、Brain、Super Agents 都有；「工时审批」页面未明确写</t>
  </si>
  <si>
    <t>[overview]
一体化工作协作平台，整合任务、文档、目标、聊天与AI，面向全球团队替代多个分散工具</t>
  </si>
  <si>
    <t>https://clickup.com</t>
  </si>
  <si>
    <t>https://clickup.com/about</t>
  </si>
  <si>
    <t>[人工核对] about 页写用一个平台取代分散工具、融合 AI；「目标」未在该页明确出现</t>
  </si>
  <si>
    <t>Q03</t>
  </si>
  <si>
    <t>Compare Asana, Monday.com and Trello pricing</t>
  </si>
  <si>
    <t>Monday.com</t>
  </si>
  <si>
    <t>[pricing]
Free $0 / Basic $9 / Standard $12 / Pro $19 per seat per month / Enterprise custom price
Pricing unit: Per seat per month; pricing page example uses 10 seats (e.g. $9 x 10 seats = $90)
Billing: Prices shown billed annually (Yearly SAVE 18%); monthly billing option available
Extra costs: AI credits beyond plan allowance: 1,000 credits = $10, 2,000 = $20, 3,000 = $30; extra API calls purchasable
Free tier &amp; trial: Free forever plan: up to 2 seats, up to 3 boards, up to 3 Docs, 200+ templates, 8 column types; no credit card needed
Current offer: Special offer: $10 off/month on Basic, $20 off/month on Standard, $30 off/month on Pro</t>
  </si>
  <si>
    <t>https://monday.com/pricing</t>
  </si>
  <si>
    <t>[人工核对] $0/$9/$12/$19、年付省 18%、特惠 $10/$20/$30 均一致</t>
  </si>
  <si>
    <t>Trello</t>
  </si>
  <si>
    <t>[pricing]
Free $0 / Standard $5 per user/month billed annually ($6 billed monthly) / Premium $10 per user/month billed annually ($12.50 billed monthly) / Enterprise (contact sales)
Free tier &amp; trial: Free plan for individuals or small teams, up to 10 collaborators per Workspace</t>
  </si>
  <si>
    <t>https://www.trello.com/pricing</t>
  </si>
  <si>
    <t>https://lifestack.ai/blog/trello-pricing</t>
  </si>
  <si>
    <t>搜索收录 search / 搜索收录 search</t>
  </si>
  <si>
    <t>[人工核对] trello.com 是官网却标成搜索收录；页面 Enterprise 标价 $17.50/人/月（年付），不是「联系销售」</t>
  </si>
  <si>
    <t>Q04</t>
  </si>
  <si>
    <t>我们做 CRM，帮我查 Salesforce、HubSpot、纷享销客</t>
  </si>
  <si>
    <t>Salesforce</t>
  </si>
  <si>
    <t>[pricing]
Starter Suite $25 USD/user/month；其余产品（Agentforce、Sales Cloud、Service Cloud 等）价格需查看各产品页或联系销售
计价单位: 按用户每月计费（USD/user/month）
免费策略: 可免费开始使用（Start for free），具体免费额度未说明</t>
  </si>
  <si>
    <t>https://www.salesforce.com/ap/?ir=1&amp;bc=DB</t>
  </si>
  <si>
    <t>https://www.salesforce.com/pricing/?bc=DB</t>
  </si>
  <si>
    <t>[人工核对] $25/用户/月 与「免费开始」在 /ap 页可见；/pricing 页未直接显示 $25</t>
  </si>
  <si>
    <t>HubSpot</t>
  </si>
  <si>
    <t>[pricing]
Sales Hub：免费 $0 / Starter $50.00 每月2用户 / Professional $500.00 5用户 / Enterprise $1,200.00 每月10用户
计价单位: 按用户数计价：Starter 含2用户、Professional 含5用户、Enterprise 含10用户
计费方式: 默认按年计费，月付价格通常高10–20%
附加成本: 额外营销联系人按每千个$50–$100计费，另有入职、专属支持等附加费
免费策略: 免费CRM含联系人、交易、邮件跟踪等基础功能，所有套餐用户均可使用免费功能
当前优惠: Vendr数据显示买家平均节省18%，常见低于标价15–30%</t>
  </si>
  <si>
    <t>https://www.partnershare.cn/product/hubspot-sales-hub/price</t>
  </si>
  <si>
    <t>https://www.vendr.com/marketplace/hubspot</t>
  </si>
  <si>
    <t>[人工核对] 数值与 PartnerShare 一致，但 PartnerShare、Vendr 都是第三方，被标成官网；且是旧版定价，未与 HubSpot 官网对照</t>
  </si>
  <si>
    <t>纷享销客</t>
  </si>
  <si>
    <t>[pricing]
专业版 ¥119/人/月、旗舰版 ¥220/人/月、AI旗舰版 ¥273/人/月，均12个月起购
计价单位: 按账号数计费，每用户每月，12个月起购
计费方式: 按人/月标价，12个月起购，人民币计价
附加成本: 支持CRM系统定制报价，具体报价需咨询热线
免费策略: 官网提供免费试用入口，未说明试用时长与功能限制</t>
  </si>
  <si>
    <t>https://www.fxiaoke.com/ap/market-price</t>
  </si>
  <si>
    <t>https://www.fxiaoke.com/</t>
  </si>
  <si>
    <t>[人工核对] ¥119/¥220/¥273、12 个月起购均一致</t>
  </si>
  <si>
    <t>[features]
AI销售助理、线索与商机管理、CPQ报价下单、客户360°洞察、智能客服与工单、PaaS定制与BI分析</t>
  </si>
  <si>
    <t>https://www.fxiaoke.com/ap/product-xs/</t>
  </si>
  <si>
    <t>[人工核对] 销售 AI、线索/商机、CPQ、智能客服、PaaS、BI 均在官网导航中</t>
  </si>
  <si>
    <t>[region]
美国 · 波士顿，2006 年创立，服务全球数百万企业</t>
  </si>
  <si>
    <t>https://www.hubspot.com/our-story</t>
  </si>
  <si>
    <t>[人工核对] 2006、波士顿正确；页面写 306,000 名客户，不是「数百万企业」</t>
  </si>
  <si>
    <t>Q05</t>
  </si>
  <si>
    <t>Find competitors of Calendly</t>
  </si>
  <si>
    <t>Doodle</t>
  </si>
  <si>
    <t>[size]
100+ employees spread over four countries (Doodle careers site, 2026); LinkedIn lists 51–200 employees</t>
  </si>
  <si>
    <t>https://careers.doodle.com/</t>
  </si>
  <si>
    <t>https://www.linkedin.com/company/doodle-ag</t>
  </si>
  <si>
    <t>[人工核对] 官网 100+、四国一致；LinkedIn 需登录，51–200 无法核实</t>
  </si>
  <si>
    <t>[funding]
2022 年 9 月 A 轮 5400 万美元，Seven Seven Six 领投，Acrew Capital、FTX Ventures、50T Funds 参投，估值 7.04 亿美元</t>
  </si>
  <si>
    <t>https://www.coindesk.com/business/2022/09/13/nft-marketplace-doodles-raises-54m-at-704m-valuation</t>
  </si>
  <si>
    <t>https://multiples.vc/private-comps/doodles</t>
  </si>
  <si>
    <t>网页 web / 网页 web</t>
  </si>
  <si>
    <t>[人工核对] 两个来源讲的是 NFT 项目 Doodles，不是排期工具 Doodle，公司张冠李戴</t>
  </si>
  <si>
    <t>HubSpot Meetings</t>
  </si>
  <si>
    <t>[funding]
已上市（IPO Status: Public）；累计融资 $100.5M，共 6 轮，最近为 2012 年 11 月 $35M Series E</t>
  </si>
  <si>
    <t>https://startupintros.com/orgs/hubspot</t>
  </si>
  <si>
    <t>网页 web</t>
  </si>
  <si>
    <t>[人工核对] $100.5M、6 轮、2012-11 E 轮 $35M 一致；数据是母公司 HubSpot 的</t>
  </si>
  <si>
    <t>Cal.com</t>
  </si>
  <si>
    <t>[funding]
$7.4m seed round led by Joseph Jacks of OSS Capital (2022); later $25.0M Series A in April 2022; total raised about $32.4M over 2 rounds.</t>
  </si>
  <si>
    <t>https://cal.com/blog/seed</t>
  </si>
  <si>
    <t>https://startupintros.com/orgs/cal-com</t>
  </si>
  <si>
    <t>[人工核对] cal.com 博客是官网却标成搜索收录；种子轮 $7.4M、OSS Capital 领投对得上；startupintros 两次打不开，A 轮 $25M 与总额 $32.4M 无法核实；博客日期 2022-09 晚于所谓「之后」的 2022-04 A 轮，时间顺序有疑</t>
  </si>
  <si>
    <t>[overview]
Fully customizable scheduling software for individuals, businesses taking calls, and developers building scheduling platforms where users meet users.</t>
  </si>
  <si>
    <t>https://cal.com</t>
  </si>
  <si>
    <t>https://cal.com/about</t>
  </si>
  <si>
    <t>[人工核对] 首页原文一致</t>
  </si>
  <si>
    <t>Q06</t>
  </si>
  <si>
    <t>查飞书、钉钉、企业微信的定价和功能</t>
  </si>
  <si>
    <t>飞书</t>
  </si>
  <si>
    <t>[pricing]
Lark 提供从免费入门版到 Pro 及企业版的多档套餐，具体价格需联系销售
免费策略: 提供免费入门套餐（free starter pack），具体额度未说明</t>
  </si>
  <si>
    <t>https://www.larksuite.com/en_sg/plans</t>
  </si>
  <si>
    <t>[人工核对] 页面公开标价 Basic $6、Pro $12（年付），并非「需联系销售」；另外 larksuite.com 是 Lark 国际版，不等于飞书</t>
  </si>
  <si>
    <t>钉钉</t>
  </si>
  <si>
    <t>[features]
企业级智能移动办公平台，提供组织协同办公、应用开发、AI 工作现场与 DingTalk A1 硬件</t>
  </si>
  <si>
    <t>https://www.dingtalk.com/</t>
  </si>
  <si>
    <t>[人工核对] AI 办公平台、宜搭应用开发、DingTalk A1 均在官网</t>
  </si>
  <si>
    <t>Q07</t>
  </si>
  <si>
    <t>Zoom, Microsoft Teams, Google Meet: pricing and recent news</t>
  </si>
  <si>
    <t>Zoom</t>
  </si>
  <si>
    <t>[pricing]
Basic free / Pro $16.99 per user/month billed monthly ($14.16 annually) / Business $21.99 monthly ($18.33 annually) / Enterprise contact sales
Pricing unit: Per user per month, in USD
Billing: Monthly or annual billing; annual rates are lower (Pro $14.16 vs $16.99, Business $18.33 vs $21.99), in USD
Free tier &amp; trial: Basic plan free: 40-minute meetings, 100 participants, 3 meeting summaries and 20 AI queries per month</t>
  </si>
  <si>
    <t>https://zoom.us/pricing</t>
  </si>
  <si>
    <t>[人工核对] 默认显示新币，切换为美元后 Pro $14.16、Business $18.33（年付）与免费版 40 分钟/100 人一致</t>
  </si>
  <si>
    <t>Google Meet</t>
  </si>
  <si>
    <t>[pricing]
Starter $9.40 / Standard $18.80 / Plus $29.40 per user/month; Enterprise "Let's talk" (Contact sales)
Pricing unit: Per user per month, tax excluded; Starter/Standard/Plus max 300 users, no minimum stated
Billing: Annual with 1-year commitment saves 16%; all plans billed monthly, prices in SGD
Extra costs: Assured Controls &amp; AI Classification available as add-on for Enterprise
Free tier &amp; trial: 14-day free trial; no free Workspace plan listed
Current offer: Up to 30% off first 3 months (Nov 8, 2026–Feb 8, 2027); intro price for first 20 users, 12 months</t>
  </si>
  <si>
    <t>https://workspace.google.com/pricing</t>
  </si>
  <si>
    <t>[人工核对] 主价 $9.40/$18.80/$29.40（SGD）、14 天试用一致；页面优惠现为前 3 个月 50% off（2026-11-09 至 2027-02-09），不是 30%（可能是优惠已更新）</t>
  </si>
  <si>
    <t>[news]
5 recent updates
news.google.com: A nonprofit founder uses Zoom AI to turn meetings into finished follow-up work.
news.google.com: Zoom explained how its Unified Context Layer keeps meeting context available for IT teams.
news.google.com: Zoom launched a Unified Context Layer to turn meeting conversations into completed work.
news.google.com: Zoom announced new Zoom Meetings features that turn conversations into completed work.
news.google.com: Zoom added World's 'Proof of Human' badges to fight fraud and deep fakes.</t>
  </si>
  <si>
    <t>https://news.google.com/rss/articles/CBMia0FVX3lxTE52czFOS0owbEhHa21mc05wck9BSDVzT1JOalViZnRFcTJKY0lHNkgyX3liQk5SZVJuNV9sN2IzZmZjb1NaVUpYdVFmMUp0Z3o4TUR0Z2pDTFBqUTk3ZS1SRURIdV9XSkVmNFg0?oc=5</t>
  </si>
  <si>
    <t>https://news.google.com/rss/articles/CBMiakFVX3lxTFBmcUFFVGltR29GUU1qSzgta0k0MV95VGV2RmdwQ2ZZUGhSelVBTHBESklzM1ZKTEFPX21GUC1ob0MzVnBBenRSWTVBSzdQelVpankycklNRE1ER25ka1NnZE1nbnVTUl9UY0E?oc=5</t>
  </si>
  <si>
    <t>新闻 news / 新闻 news</t>
  </si>
  <si>
    <t>[人工核对] 两条链接跳转到 Zoom 官方博客对应文章</t>
  </si>
  <si>
    <t>Microsoft Teams</t>
  </si>
  <si>
    <t>[news]
5 recent updates
news.google.com: Workers shared tips on appearing active in Microsoft Teams, while Newsweek examined whether employers can detect such ta
news.google.com: Windows Central reported that Microsoft Teams added a long-requested feature, which the writer said could bring them bac
news.google.com: Purdue University Northwest announced its migration to Microsoft Teams Calling.
news.google.com: Google Meet and Microsoft Teams improved their interoperability, according to Android Authority.
news.google.com: Microsoft said it will remove the Copilot shortcut from the Teams chat list next month.</t>
  </si>
  <si>
    <t>https://news.google.com/rss/articles/CBMiqwFBVV95cUxQNW1ldWxsaC1Lb2NPYkUyWndzSXpiZlNvZUpGVUZyQTdkcFVMbTl6dXFjRWZHRURzbjBFY2wtVVA3NEVLUWZmZmdlMkdxZm5mWlMyVFVBSmRKUmVOUVh3VERKLWVfQmlzX1FvWm1yanhabWN3SDJhbFF5cGhkb3kxMGxLeXBtVVRpNEVMckdTUGxEVTNzMFRUYmE0ZVRfeXJPb3c1aDlxNFJPSjQ?oc=5</t>
  </si>
  <si>
    <t>https://news.google.com/rss/articles/CBMiyAFBVV95cUxQZ0UtTGdQYVp2VllBaS1qQU9abXpxUFhJUmk5UEt5Q3NfeUcxRDZPSTl4c3JGSzhxV19Nc3luejNxM2luUXhEaUtQbkpVWnVERGFJaHQ5TDJrZmtOb1B1RWZPQjUxeHlZYThURWdFSHBUOGFueHRmSmI0REptamdsYXNuZ3JHS3VWSURUWktHT0I1TGw2Wl96OFVqdU02cGJEcFNLTE91dEp4YXUwSHdlWUdJb2NqTElyOFJGUW5aMEtDUGJHRFVTZQ?oc=5</t>
  </si>
  <si>
    <t>[人工核对] 链接跳转 Newsweek 对应文章</t>
  </si>
  <si>
    <t>[news]
5 recent updates
news.google.com: Google Meet now supports 1080p video resolution, with a caveat noted by Mashable.
news.google.com: TechRadar lists 12 alternatives to Google Meet for better privacy and more powerful features.
news.google.com: Hackers are using fake Google Meet pages to steal Google credentials, CyberSecurityNews reports.
news.google.com: Google Meet added automated tasks and stronger security features, SammyGuru reports.
news.google.com: Google Meet and Microsoft Teams improved their interoperability for working together.</t>
  </si>
  <si>
    <t>https://news.google.com/rss/articles/CBMiYkFVX3lxTE56VGoxN1dUZkpZWEtTeGhQRzd6WlFqS2pwVTFDVHpkSW5aX2hVVktMVWhaNjlmU0xoUVU0d0ZWM2dyeGVFOVZJeUNRZFFUQURlazBOT1ZFMldTNG52ZjNCd19B?oc=5</t>
  </si>
  <si>
    <t>https://news.google.com/rss/articles/CBMiwgFBVV95cUxPTGxuMVdQOUlvclJfTzU2dE14Qm51S1NMZWZXOXhHeGdxck8zSEtxaDFLYzlOajJ5ZDRWQ3RsVzNEaGxhQUtuZmlpZmxhVFp6SkNiendPWm1XeGM1cHIxZXV2Y0FBeFVEU3BPNTYwN3pXQkp2QlE4akRWR21FOUJhVS1wUDNURmNCU2I0dVBPNXVhMnJneGZWTGJmSzlPOU55NkgxazVoY2JmeXdrLTJOV0RkOGtTdDdoVnJra0ZsNXRCQQ?oc=5</t>
  </si>
  <si>
    <t>[人工核对] 链接跳转 Mashable 1080p 文章；该文较旧，「近期」存疑</t>
  </si>
  <si>
    <t>Q08</t>
  </si>
  <si>
    <t>我们做 SaaS 客服系统，帮我找竞品</t>
  </si>
  <si>
    <t>Help Scout</t>
  </si>
  <si>
    <t>[size]
约140人，分布于全球115多个城市（官网招聘页，未注明年份）</t>
  </si>
  <si>
    <t>https://www.helpscout.com/company/careers/</t>
  </si>
  <si>
    <t>[人工核对] 140 名成员、115+ 城市一致</t>
  </si>
  <si>
    <t>[overview]
面向成长型企业的客户沟通与客服平台，提供共享收件箱、AI客服Envoy、Copilot和Signal，服务1.2万多家客户团队</t>
  </si>
  <si>
    <t>https://www.helpscout.com/about/</t>
  </si>
  <si>
    <t>https://www.helpscout.com</t>
  </si>
  <si>
    <t>[人工核对] 12,000+ 团队、收件箱/Copilot/Signal 一致；AI 客服在导航里叫 Agent，未见 Envoy 字样</t>
  </si>
  <si>
    <t>Freshdesk</t>
  </si>
  <si>
    <t>[overview]
Freshworks 旗下 AI 客户服务软件，提供全渠道工单、自动化工作流与 Freddy AI，面向客服团队</t>
  </si>
  <si>
    <t>https://www.freshworks.com/freshdesk/</t>
  </si>
  <si>
    <t>https://www.freshworks.com/company/about/</t>
  </si>
  <si>
    <t>[人工核对] AI 客服、工作流、Freddy AI 均有</t>
  </si>
  <si>
    <t>Zendesk</t>
  </si>
  <si>
    <t>[overview]
服务优先的CRM公司，提供AI客服与员工服务软件，覆盖工单、消息、语音和知识库，服务8万多家企业</t>
  </si>
  <si>
    <t>https://www.zendesk.com/sg/company/</t>
  </si>
  <si>
    <t>https://www.zendesk.com/sg/company/agreements-and-terms/privacy-notice/</t>
  </si>
  <si>
    <t>[人工核对] 80,000+ 公司、员工服务一致</t>
  </si>
  <si>
    <t>[region]
美国 · 特拉华州公益公司（PBC），团队远程分布于全球115多个城市</t>
  </si>
  <si>
    <t>https://www.helpscout.com/company/legal/terms-of-service/</t>
  </si>
  <si>
    <t>[人工核对] 服务条款写明特拉华州公益公司 Help Scout PBC；about 页写远程 115+ 城市</t>
  </si>
  <si>
    <t>Q09</t>
  </si>
  <si>
    <t>Figma vs Canva vs Sketch</t>
  </si>
  <si>
    <t>Figma</t>
  </si>
  <si>
    <t>[pricing]
Starter Free / Professional Full seat $16 /mo, Dev seat $12 /mo, Collab seat $3 /mo / Organization Full seat $55 /mo, Dev seat $25 /mo, Collab seat $5 /mo / Enterprise Full seat $90 /mo, Dev seat $35 /mo, Collab seat $5 /mo
Pricing unit: Per seat per month, with three seat types: Full seat, Dev seat and Collab seat.
Billing: Prices in USD; Professional offers Monthly or Annual, Organization and Enterprise are billed annually.
Free tier &amp; trial: Starter is free with limited access: unlimited drafts, UI kits and templates, 150 AI credits/day up to 500 AI credits/mo.
Current offer: AI add-ons are now available for all plans.</t>
  </si>
  <si>
    <t>https://www.figma.com/pricing/</t>
  </si>
  <si>
    <t>[人工核对] 三档席位价与 Starter 150/天、500/月 AI 额度一致</t>
  </si>
  <si>
    <t>Canva</t>
  </si>
  <si>
    <t>[pricing]
Free US$0 / Pro US$144/year for one person / Business US$250/year per person / Enterprise contact sales
Pricing unit: Per person (per seat) per year; Business priced per person
Billing: Yearly billing shown with monthly toggle; yearly saves from 16%
Extra costs: AI Pass add-on and AI top-ups available at extra cost on Pro and Business
Free tier &amp; trial: Free plan: 5GB storage, 1 Brand Kit (3 colors), up to 20 Standard or Premium AI uses
Current offer: Yearly billing saves from 16% versus monthly</t>
  </si>
  <si>
    <t>https://www.canva.com/pricing/</t>
  </si>
  <si>
    <t>https://www.canva.com/help/subscription-options/</t>
  </si>
  <si>
    <t>[人工核对] 切到美国地区后 Pro US$144、Business US$250、年付省 16%、免费 5GB 一致；但来源 2 是 Canva 官方帮助中心，却标成搜索收录</t>
  </si>
  <si>
    <t>Sketch</t>
  </si>
  <si>
    <t>[pricing]
Standard subscription (monthly per Editor, billed yearly) and Mac-only license (per Seat, $120 yearly seat cost); no full plan list with prices shown.
Pricing unit: Per Editor per month, billed yearly; Mac-only license is per seat including one year of updates
Billing: Prices shown are monthly per Editor billed yearly; a Monthly toggle exists; Professional plans billed yearly by credit card
Extra costs: One-time setup fee for Private Cloud plans; additional charges may apply for custom requirements
Free tier &amp; trial: No free plan; 30-day free trial without credit card; unlimited free Viewers; free Education Workspace with 1 Editor seat
Current offer: Free for education: students and educators get one year of free access</t>
  </si>
  <si>
    <t>https://www.sketch.com/license/</t>
  </si>
  <si>
    <t>https://www.sketch.com/pricing/</t>
  </si>
  <si>
    <t>[人工核对] 页面明码标价 Standard $12 / Professional $24 / Enterprise $44（年付），系统却写「未列出完整价格」</t>
  </si>
  <si>
    <t>[overview]
Sketch is a macOS design toolkit made by designers for designers, covering design, prototyping, collaboration and developer handoff for UI/UX designers.</t>
  </si>
  <si>
    <t>https://www.sketch.com</t>
  </si>
  <si>
    <t>https://www.sketch.com/about-us/</t>
  </si>
  <si>
    <t>[人工核对] about 页写专注为 UI/UX 设计师做 Mac 应用；设计/原型/协作/交付在导航中</t>
  </si>
  <si>
    <t>[news]
5 recent updates
news.google.com: Canva unveiled its first AI image model, which plans designs before generating them.
news.google.com: Canva released its first image generation model, according to TechCrunch.
news.google.com: Canva scaled up threat detection using data it already trusts, per Snowflake.
news.google.com: An activist disrupted Canva's AI event in London, saying 'AI steals from people.'
news.google.com: The American Film Institute named its 2026-2027 Canva Fellowship recipients.</t>
  </si>
  <si>
    <t>https://news.google.com/rss/articles/CBMikwFBVV95cUxQR05XNUt3S2l1QkotOUJTMG1HZlpaeWFTXzFFbXZHOFpIa25pODdkTXdvd2VTS2tZb1pKY05ieHB6YUtPLW5DNUpPTzlPc3BDd0dFY3VDSVc3U05VcEV2LVAxVjNfaF9aZGk3bEVCVTlxQ0ZFUExzMWxjUHFTcVpPa1BseW5rdFl1dmN6REd2TkxVWjA?oc=5</t>
  </si>
  <si>
    <t>https://news.google.com/rss/articles/CBMiigFBVV95cUxNd21jWkQ5TzJTSGZRdl9YQVBqMWNLR3JRME9XX0JiZUJ4OXRFbjZSeWZ3NTlrT3VPLWhQeElXbzJueHAzU1hhUlB6LXFWQ1MyQXFPcUJ1ZU9Vd0ZjbkFmWjY4Y05JOU9KNGk4d3FIVTA5aFhUeHJueG5RVnhwNjgwcUpMQzBiUUc2OEE?oc=5</t>
  </si>
  <si>
    <t>[人工核对] 链接跳转 The Verge 对应文章</t>
  </si>
  <si>
    <t>Q10</t>
  </si>
  <si>
    <t>查 Linear、Jira 的定价和联系方式</t>
  </si>
  <si>
    <t>Linear</t>
  </si>
  <si>
    <t>[pricing]
Free $0 / Basic $10 每用户每月 / Business $16 每用户每月 / Enterprise 定制
计价单位: 按每用户每月计费
计费方式: Basic 与 Business 按年计费；Enterprise 仅支持年付
附加成本: Salesforce 集成为付费附加项；Coding sessions 与 Loops 需 AI credits
免费策略: 免费版：成员不限、2 个团队、250 个 issue、10MB 文件上传</t>
  </si>
  <si>
    <t>https://linear.app/pricing</t>
  </si>
  <si>
    <t>[人工核对] $10/$16/定制、免费版 2 团队/250 issue/10MB 一致</t>
  </si>
  <si>
    <t>[contact]
销售联系页 Talk to sales；通用咨询邮箱 hello@linear.app</t>
  </si>
  <si>
    <t>https://linear.app/contact/sales</t>
  </si>
  <si>
    <t>https://linear.app/contact</t>
  </si>
  <si>
    <t>[人工核对] hello@linear.app 与销售入口均在</t>
  </si>
  <si>
    <t>[overview]
Coda 是一站式协作工作空间，融合文档、电子表格与应用能力，并内置 Coda AI，面向团队协作与工作管理</t>
  </si>
  <si>
    <t>https://coda.io</t>
  </si>
  <si>
    <t>https://coda.io/product</t>
  </si>
  <si>
    <t>[人工核对] 首页写一体化协作工作空间</t>
  </si>
  <si>
    <t>[region]
Switzerland · Zurich (Werdstrasse 21), with offices in Berlin, Belgrade and the US (Atlanta).</t>
  </si>
  <si>
    <t>https://help.doodle.com/en/articles/9457354-who-develops-and-operates-doodle</t>
  </si>
  <si>
    <t>https://doodle.com/en/website-imprint/</t>
  </si>
  <si>
    <t>[人工核对] Werdstrasse 21 苏黎世、柏林/贝尔格莱德/亚特兰大办事处一致；但两个来源都是 Doodle 官网域名，却标成搜索收录</t>
  </si>
  <si>
    <t>[features]
Drag-and-drop editor with 1.6M+ templates, photo/video editing, PDF editor, presentations, websites, whiteboards, and Canva AI tools like Magic Write and Magic Resize.</t>
  </si>
  <si>
    <t>https://www.canva.com/features/</t>
  </si>
  <si>
    <t>[人工核对] 定价页写 1.6M+ 模板；功能页有照片/视频编辑、PDF 编辑、网站、白板、Magic Write、Magic Resize</t>
  </si>
  <si>
    <t>[news]
5 recent updates
news.google.com: Figma announced new platform features defining how AI agents operate within its design tools.
news.google.com: Figma's CFO said the company will accept lower margins to drive AI demand.
news.google.com: InfoQ reported how Figma uses AI agents to support its security operations.
news.google.com: Bloomberg interviewed Figma about its bet on AI as the next design workflow.
news.google.com: Figma reported its Q2 earnings, with Yahoo Finance highlighting key metrics.</t>
  </si>
  <si>
    <t>https://news.google.com/rss/articles/CBMiqAFBVV95cUxOb3ZuaWwzQlZKUEF6eEdZeEticm9PMG1WdWZGVEI4eWRoaEt4aFhHRGloLVJSdzlzeTJzSlY0SlBnR0czbnN2c05yUFBUVF9QaUR1MEtMNlhacmVYbGIzQm5maEVHY21zOGo0cGp2bGszbUlnSnZ1UzI5bXN4clNEaUFBcVU0NXRIZW5KVTBJTVdJVGxnMTkzcE5FeTV0Y3BFNGtUdmtTdV8?oc=5</t>
  </si>
  <si>
    <t>https://news.google.com/rss/articles/CBMitwFBVV95cUxOeVl3TUpFMUJ3Qmd5RmRRLUtienRuSEJia1dtd24wVm5iMHFhbUQ0aFFRUk56cWVJQ01PZmJPVVZBN3JHVGpFTXVNX1ozNElOSGY3MFZ3WTJJYXEwZmIyc21NVjlKRFZRU3hHVTBxNVg5WGpxdmZJcm56cDAtdm1ob0llbmV0VllnNFdlbkcxTTJVUldIYTR6bXp0WHNteW93X0tyT1N4LUtEOGpORlU1eWRDZndJS2M?oc=5</t>
  </si>
  <si>
    <t>[人工核对] 链接跳转 TechCrunch 对应文章</t>
  </si>
  <si>
    <t>[social]
2 recent posts · Key point: Launch of Canva Craft AI image model
X: Canva introduced Canva Craft, its first frontier image generation model built specifically for design, now available to 
X: Canva announced Canva Craft, a frontier image generation model built for design, is now available to everyone.</t>
  </si>
  <si>
    <t>[人工核对] F/G 列没有来源链接，H 列也没有标注，无法核实</t>
  </si>
  <si>
    <t>[region]
中国 · 北京中关村，在16个地区设直营机构，含香港及美国分公司</t>
  </si>
  <si>
    <t>https://www.fxiaoke.com/crm/about-2/</t>
  </si>
  <si>
    <t>[人工核对] 总部北京中关村、16 个地区设直营机构（含香港、美国）一致</t>
  </si>
  <si>
    <t>[region]
Founded in Boston, USA; serves businesses around the world.</t>
  </si>
  <si>
    <t>[人工核对] our-story 页写 2006 年创立、总部波士顿、服务全球客户（与第 17 条同页）</t>
  </si>
  <si>
    <t>[news]
Salesforce在Dreamforce 2026发布企业级AI系统AIforce，员工可通过Claude、Slack等AI界面调取公司数据并完成工作。
news.qq.com: Salesforce在Dreamforce 2026发布企业级AI系统AIforce，员工可通过Claude、Slack等AI界面调取公司数据并完成工作。</t>
  </si>
  <si>
    <t>https://news.qq.com/rain/a/20260916A036KX00</t>
  </si>
  <si>
    <t>新闻 news</t>
  </si>
  <si>
    <t>[人工核对] 腾讯新闻原文一致</t>
  </si>
  <si>
    <t>[overview]
Online design and publishing tool launched in 2013, letting anyone create and publish designs, presentations, videos, print and social content.</t>
  </si>
  <si>
    <t>https://www.canva.com/about/</t>
  </si>
  <si>
    <t>https://www.canva.com/</t>
  </si>
  <si>
    <t>[人工核对] about 页写 2013 年推出的在线设计和发布工具；但来源 2 canva.com 是官网，却标成搜索收录</t>
  </si>
  <si>
    <t>项目 Item</t>
  </si>
  <si>
    <t>值 Value</t>
  </si>
  <si>
    <t>已核对条数 Audited</t>
  </si>
  <si>
    <t>正确 Correct</t>
  </si>
  <si>
    <t>错误 Wrong</t>
  </si>
  <si>
    <t>正确率 Correct rate</t>
  </si>
  <si>
    <t>门槛 Threshold (measure 1)</t>
  </si>
  <si>
    <t>结论 Verdict</t>
  </si>
  <si>
    <t>其中：官网来源正确率 official-source rows</t>
  </si>
  <si>
    <t>各项未通过 J 链接</t>
  </si>
  <si>
    <t>各项未通过 K 原文</t>
  </si>
  <si>
    <t>各项未通过 L 来源/标注</t>
  </si>
  <si>
    <t>各项未通过 M 数值</t>
  </si>
  <si>
    <t>开始时间 Start (例 2026-10-27 10:00)</t>
  </si>
  <si>
    <t>结束时间 End</t>
  </si>
  <si>
    <t>核对用时（分钟）Audit minutes</t>
  </si>
  <si>
    <t>核对者 Reviewer</t>
  </si>
  <si>
    <t>待补 Pending</t>
  </si>
  <si>
    <t>#3、#5：开发屋 Cloudflare 真人验证需本人通过后补核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</si>
</sst>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\-mm\-dd\ hh:mm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b/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7E6"/>
        <bgColor indexed="64"/>
      </patternFill>
    </fill>
    <fill>
      <patternFill patternType="solid">
        <fgColor rgb="FFE5322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176" fontId="0" fillId="0" borderId="0" xfId="0" applyNumberFormat="1"/>
    <xf numFmtId="9" fontId="0" fillId="0" borderId="0" xfId="0" applyNumberFormat="1"/>
    <xf numFmtId="177" fontId="0" fillId="2" borderId="0" xfId="0" applyNumberFormat="1" applyFill="1"/>
    <xf numFmtId="0" fontId="2" fillId="3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color rgb="FFC00000"/>
      </font>
    </dxf>
    <dxf>
      <font>
        <b val="1"/>
        <color rgb="FF1E7B3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clickup.com/features/tasks" TargetMode="External"/><Relationship Id="rId8" Type="http://schemas.openxmlformats.org/officeDocument/2006/relationships/hyperlink" Target="https://clickup.com/pricing" TargetMode="External"/><Relationship Id="rId73" Type="http://schemas.openxmlformats.org/officeDocument/2006/relationships/hyperlink" Target="https://www.canva.com/" TargetMode="External"/><Relationship Id="rId72" Type="http://schemas.openxmlformats.org/officeDocument/2006/relationships/hyperlink" Target="https://www.canva.com/about/" TargetMode="External"/><Relationship Id="rId71" Type="http://schemas.openxmlformats.org/officeDocument/2006/relationships/hyperlink" Target="https://news.qq.com/rain/a/20260916A036KX00" TargetMode="External"/><Relationship Id="rId70" Type="http://schemas.openxmlformats.org/officeDocument/2006/relationships/hyperlink" Target="https://www.fxiaoke.com/crm/about-2/" TargetMode="External"/><Relationship Id="rId7" Type="http://schemas.openxmlformats.org/officeDocument/2006/relationships/hyperlink" Target="https://www.partnershare.cn/product/coda-coda/price" TargetMode="External"/><Relationship Id="rId69" Type="http://schemas.openxmlformats.org/officeDocument/2006/relationships/hyperlink" Target="https://news.google.com/rss/articles/CBMitwFBVV95cUxOeVl3TUpFMUJ3Qmd5RmRRLUtienRuSEJia1dtd24wVm5iMHFhbUQ0aFFRUk56cWVJQ01PZmJPVVZBN3JHVGpFTXVNX1ozNElOSGY3MFZ3WTJJYXEwZmIyc21NVjlKRFZRU3hHVTBxNVg5WGpxdmZJcm56cDAtdm1ob0llbmV0VllnNFdlbkcxTTJVUldIYTR6bXp0WHNteW93X0tyT1N4LUtEOGpORlU1eWRDZndJS2M?oc=5" TargetMode="External"/><Relationship Id="rId68" Type="http://schemas.openxmlformats.org/officeDocument/2006/relationships/hyperlink" Target="https://news.google.com/rss/articles/CBMiqAFBVV95cUxOb3ZuaWwzQlZKUEF6eEdZeEticm9PMG1WdWZGVEI4eWRoaEt4aFhHRGloLVJSdzlzeTJzSlY0SlBnR0czbnN2c05yUFBUVF9QaUR1MEtMNlhacmVYbGIzQm5maEVHY21zOGo0cGp2bGszbUlnSnZ1UzI5bXN4clNEaUFBcVU0NXRIZW5KVTBJTVdJVGxnMTkzcE5FeTV0Y3BFNGtUdmtTdV8?oc=5" TargetMode="External"/><Relationship Id="rId67" Type="http://schemas.openxmlformats.org/officeDocument/2006/relationships/hyperlink" Target="https://www.canva.com/features/" TargetMode="External"/><Relationship Id="rId66" Type="http://schemas.openxmlformats.org/officeDocument/2006/relationships/hyperlink" Target="https://doodle.com/en/website-imprint/" TargetMode="External"/><Relationship Id="rId65" Type="http://schemas.openxmlformats.org/officeDocument/2006/relationships/hyperlink" Target="https://help.doodle.com/en/articles/9457354-who-develops-and-operates-doodle" TargetMode="External"/><Relationship Id="rId64" Type="http://schemas.openxmlformats.org/officeDocument/2006/relationships/hyperlink" Target="https://coda.io/product" TargetMode="External"/><Relationship Id="rId63" Type="http://schemas.openxmlformats.org/officeDocument/2006/relationships/hyperlink" Target="https://coda.io" TargetMode="External"/><Relationship Id="rId62" Type="http://schemas.openxmlformats.org/officeDocument/2006/relationships/hyperlink" Target="https://linear.app/contact" TargetMode="External"/><Relationship Id="rId61" Type="http://schemas.openxmlformats.org/officeDocument/2006/relationships/hyperlink" Target="https://linear.app/contact/sales" TargetMode="External"/><Relationship Id="rId60" Type="http://schemas.openxmlformats.org/officeDocument/2006/relationships/hyperlink" Target="https://linear.app/pricing" TargetMode="External"/><Relationship Id="rId6" Type="http://schemas.openxmlformats.org/officeDocument/2006/relationships/hyperlink" Target="https://www.notion.com/pricing" TargetMode="External"/><Relationship Id="rId59" Type="http://schemas.openxmlformats.org/officeDocument/2006/relationships/hyperlink" Target="https://news.google.com/rss/articles/CBMiigFBVV95cUxNd21jWkQ5TzJTSGZRdl9YQVBqMWNLR3JRME9XX0JiZUJ4OXRFbjZSeWZ3NTlrT3VPLWhQeElXbzJueHAzU1hhUlB6LXFWQ1MyQXFPcUJ1ZU9Vd0ZjbkFmWjY4Y05JOU9KNGk4d3FIVTA5aFhUeHJueG5RVnhwNjgwcUpMQzBiUUc2OEE?oc=5" TargetMode="External"/><Relationship Id="rId58" Type="http://schemas.openxmlformats.org/officeDocument/2006/relationships/hyperlink" Target="https://news.google.com/rss/articles/CBMikwFBVV95cUxQR05XNUt3S2l1QkotOUJTMG1HZlpaeWFTXzFFbXZHOFpIa25pODdkTXdvd2VTS2tZb1pKY05ieHB6YUtPLW5DNUpPTzlPc3BDd0dFY3VDSVc3U05VcEV2LVAxVjNfaF9aZGk3bEVCVTlxQ0ZFUExzMWxjUHFTcVpPa1BseW5rdFl1dmN6REd2TkxVWjA?oc=5" TargetMode="External"/><Relationship Id="rId57" Type="http://schemas.openxmlformats.org/officeDocument/2006/relationships/hyperlink" Target="https://www.sketch.com/about-us/" TargetMode="External"/><Relationship Id="rId56" Type="http://schemas.openxmlformats.org/officeDocument/2006/relationships/hyperlink" Target="https://www.sketch.com" TargetMode="External"/><Relationship Id="rId55" Type="http://schemas.openxmlformats.org/officeDocument/2006/relationships/hyperlink" Target="https://www.sketch.com/pricing/" TargetMode="External"/><Relationship Id="rId54" Type="http://schemas.openxmlformats.org/officeDocument/2006/relationships/hyperlink" Target="https://www.sketch.com/license/" TargetMode="External"/><Relationship Id="rId53" Type="http://schemas.openxmlformats.org/officeDocument/2006/relationships/hyperlink" Target="https://www.canva.com/help/subscription-options/" TargetMode="External"/><Relationship Id="rId52" Type="http://schemas.openxmlformats.org/officeDocument/2006/relationships/hyperlink" Target="https://www.canva.com/pricing/" TargetMode="External"/><Relationship Id="rId51" Type="http://schemas.openxmlformats.org/officeDocument/2006/relationships/hyperlink" Target="https://www.figma.com/pricing/" TargetMode="External"/><Relationship Id="rId50" Type="http://schemas.openxmlformats.org/officeDocument/2006/relationships/hyperlink" Target="https://www.helpscout.com/company/legal/terms-of-service/" TargetMode="External"/><Relationship Id="rId5" Type="http://schemas.openxmlformats.org/officeDocument/2006/relationships/hyperlink" Target="https://www.kaifain.com/b/ae4b294ae802d3b1" TargetMode="External"/><Relationship Id="rId49" Type="http://schemas.openxmlformats.org/officeDocument/2006/relationships/hyperlink" Target="https://www.zendesk.com/sg/company/agreements-and-terms/privacy-notice/" TargetMode="External"/><Relationship Id="rId48" Type="http://schemas.openxmlformats.org/officeDocument/2006/relationships/hyperlink" Target="https://www.zendesk.com/sg/company/" TargetMode="External"/><Relationship Id="rId47" Type="http://schemas.openxmlformats.org/officeDocument/2006/relationships/hyperlink" Target="https://www.freshworks.com/company/about/" TargetMode="External"/><Relationship Id="rId46" Type="http://schemas.openxmlformats.org/officeDocument/2006/relationships/hyperlink" Target="https://www.freshworks.com/freshdesk/" TargetMode="External"/><Relationship Id="rId45" Type="http://schemas.openxmlformats.org/officeDocument/2006/relationships/hyperlink" Target="https://www.helpscout.com" TargetMode="External"/><Relationship Id="rId44" Type="http://schemas.openxmlformats.org/officeDocument/2006/relationships/hyperlink" Target="https://www.helpscout.com/about/" TargetMode="External"/><Relationship Id="rId43" Type="http://schemas.openxmlformats.org/officeDocument/2006/relationships/hyperlink" Target="https://www.helpscout.com/company/careers/" TargetMode="External"/><Relationship Id="rId42" Type="http://schemas.openxmlformats.org/officeDocument/2006/relationships/hyperlink" Target="https://news.google.com/rss/articles/CBMiwgFBVV95cUxPTGxuMVdQOUlvclJfTzU2dE14Qm51S1NMZWZXOXhHeGdxck8zSEtxaDFLYzlOajJ5ZDRWQ3RsVzNEaGxhQUtuZmlpZmxhVFp6SkNiendPWm1XeGM1cHIxZXV2Y0FBeFVEU3BPNTYwN3pXQkp2QlE4akRWR21FOUJhVS1wUDNURmNCU2I0dVBPNXVhMnJneGZWTGJmSzlPOU55NkgxazVoY2JmeXdrLTJOV0RkOGtTdDdoVnJra0ZsNXRCQQ?oc=5" TargetMode="External"/><Relationship Id="rId41" Type="http://schemas.openxmlformats.org/officeDocument/2006/relationships/hyperlink" Target="https://news.google.com/rss/articles/CBMiYkFVX3lxTE56VGoxN1dUZkpZWEtTeGhQRzd6WlFqS2pwVTFDVHpkSW5aX2hVVktMVWhaNjlmU0xoUVU0d0ZWM2dyeGVFOVZJeUNRZFFUQURlazBOT1ZFMldTNG52ZjNCd19B?oc=5" TargetMode="External"/><Relationship Id="rId40" Type="http://schemas.openxmlformats.org/officeDocument/2006/relationships/hyperlink" Target="https://news.google.com/rss/articles/CBMiyAFBVV95cUxQZ0UtTGdQYVp2VllBaS1qQU9abXpxUFhJUmk5UEt5Q3NfeUcxRDZPSTl4c3JGSzhxV19Nc3luejNxM2luUXhEaUtQbkpVWnVERGFJaHQ5TDJrZmtOb1B1RWZPQjUxeHlZYThURWdFSHBUOGFueHRmSmI0REptamdsYXNuZ3JHS3VWSURUWktHT0I1TGw2Wl96OFVqdU02cGJEcFNLTE91dEp4YXUwSHdlWUdJb2NqTElyOFJGUW5aMEtDUGJHRFVTZQ?oc=5" TargetMode="External"/><Relationship Id="rId4" Type="http://schemas.openxmlformats.org/officeDocument/2006/relationships/hyperlink" Target="https://www.cnpp.cn/pinpai/135822.html" TargetMode="External"/><Relationship Id="rId39" Type="http://schemas.openxmlformats.org/officeDocument/2006/relationships/hyperlink" Target="https://news.google.com/rss/articles/CBMiqwFBVV95cUxQNW1ldWxsaC1Lb2NPYkUyWndzSXpiZlNvZUpGVUZyQTdkcFVMbTl6dXFjRWZHRURzbjBFY2wtVVA3NEVLUWZmZmdlMkdxZm5mWlMyVFVBSmRKUmVOUVh3VERKLWVfQmlzX1FvWm1yanhabWN3SDJhbFF5cGhkb3kxMGxLeXBtVVRpNEVMckdTUGxEVTNzMFRUYmE0ZVRfeXJPb3c1aDlxNFJPSjQ?oc=5" TargetMode="External"/><Relationship Id="rId38" Type="http://schemas.openxmlformats.org/officeDocument/2006/relationships/hyperlink" Target="https://news.google.com/rss/articles/CBMiakFVX3lxTFBmcUFFVGltR29GUU1qSzgta0k0MV95VGV2RmdwQ2ZZUGhSelVBTHBESklzM1ZKTEFPX21GUC1ob0MzVnBBenRSWTVBSzdQelVpankycklNRE1ER25ka1NnZE1nbnVTUl9UY0E?oc=5" TargetMode="External"/><Relationship Id="rId37" Type="http://schemas.openxmlformats.org/officeDocument/2006/relationships/hyperlink" Target="https://news.google.com/rss/articles/CBMia0FVX3lxTE52czFOS0owbEhHa21mc05wck9BSDVzT1JOalViZnRFcTJKY0lHNkgyX3liQk5SZVJuNV9sN2IzZmZjb1NaVUpYdVFmMUp0Z3o4TUR0Z2pDTFBqUTk3ZS1SRURIdV9XSkVmNFg0?oc=5" TargetMode="External"/><Relationship Id="rId36" Type="http://schemas.openxmlformats.org/officeDocument/2006/relationships/hyperlink" Target="https://workspace.google.com/pricing" TargetMode="External"/><Relationship Id="rId35" Type="http://schemas.openxmlformats.org/officeDocument/2006/relationships/hyperlink" Target="https://zoom.us/pricing" TargetMode="External"/><Relationship Id="rId34" Type="http://schemas.openxmlformats.org/officeDocument/2006/relationships/hyperlink" Target="https://www.dingtalk.com/" TargetMode="External"/><Relationship Id="rId33" Type="http://schemas.openxmlformats.org/officeDocument/2006/relationships/hyperlink" Target="https://www.larksuite.com/en_sg/plans" TargetMode="External"/><Relationship Id="rId32" Type="http://schemas.openxmlformats.org/officeDocument/2006/relationships/hyperlink" Target="https://cal.com/about" TargetMode="External"/><Relationship Id="rId31" Type="http://schemas.openxmlformats.org/officeDocument/2006/relationships/hyperlink" Target="https://cal.com" TargetMode="External"/><Relationship Id="rId30" Type="http://schemas.openxmlformats.org/officeDocument/2006/relationships/hyperlink" Target="https://startupintros.com/orgs/cal-com" TargetMode="External"/><Relationship Id="rId3" Type="http://schemas.openxmlformats.org/officeDocument/2006/relationships/hyperlink" Target="https://docs.qq.com" TargetMode="External"/><Relationship Id="rId29" Type="http://schemas.openxmlformats.org/officeDocument/2006/relationships/hyperlink" Target="https://cal.com/blog/seed" TargetMode="External"/><Relationship Id="rId28" Type="http://schemas.openxmlformats.org/officeDocument/2006/relationships/hyperlink" Target="https://startupintros.com/orgs/hubspot" TargetMode="External"/><Relationship Id="rId27" Type="http://schemas.openxmlformats.org/officeDocument/2006/relationships/hyperlink" Target="https://multiples.vc/private-comps/doodles" TargetMode="External"/><Relationship Id="rId26" Type="http://schemas.openxmlformats.org/officeDocument/2006/relationships/hyperlink" Target="https://www.coindesk.com/business/2022/09/13/nft-marketplace-doodles-raises-54m-at-704m-valuation" TargetMode="External"/><Relationship Id="rId25" Type="http://schemas.openxmlformats.org/officeDocument/2006/relationships/hyperlink" Target="https://www.linkedin.com/company/doodle-ag" TargetMode="External"/><Relationship Id="rId24" Type="http://schemas.openxmlformats.org/officeDocument/2006/relationships/hyperlink" Target="https://careers.doodle.com/" TargetMode="External"/><Relationship Id="rId23" Type="http://schemas.openxmlformats.org/officeDocument/2006/relationships/hyperlink" Target="https://www.hubspot.com/our-story" TargetMode="External"/><Relationship Id="rId22" Type="http://schemas.openxmlformats.org/officeDocument/2006/relationships/hyperlink" Target="https://www.fxiaoke.com/ap/product-xs/" TargetMode="External"/><Relationship Id="rId21" Type="http://schemas.openxmlformats.org/officeDocument/2006/relationships/hyperlink" Target="https://www.fxiaoke.com/" TargetMode="External"/><Relationship Id="rId20" Type="http://schemas.openxmlformats.org/officeDocument/2006/relationships/hyperlink" Target="https://www.fxiaoke.com/ap/market-price" TargetMode="External"/><Relationship Id="rId2" Type="http://schemas.openxmlformats.org/officeDocument/2006/relationships/hyperlink" Target="https://shimo.im" TargetMode="External"/><Relationship Id="rId19" Type="http://schemas.openxmlformats.org/officeDocument/2006/relationships/hyperlink" Target="https://www.vendr.com/marketplace/hubspot" TargetMode="External"/><Relationship Id="rId18" Type="http://schemas.openxmlformats.org/officeDocument/2006/relationships/hyperlink" Target="https://www.partnershare.cn/product/hubspot-sales-hub/price" TargetMode="External"/><Relationship Id="rId17" Type="http://schemas.openxmlformats.org/officeDocument/2006/relationships/hyperlink" Target="https://www.salesforce.com/pricing/?bc=DB" TargetMode="External"/><Relationship Id="rId16" Type="http://schemas.openxmlformats.org/officeDocument/2006/relationships/hyperlink" Target="https://www.salesforce.com/ap/?ir=1&amp;bc=DB" TargetMode="External"/><Relationship Id="rId15" Type="http://schemas.openxmlformats.org/officeDocument/2006/relationships/hyperlink" Target="https://lifestack.ai/blog/trello-pricing" TargetMode="External"/><Relationship Id="rId14" Type="http://schemas.openxmlformats.org/officeDocument/2006/relationships/hyperlink" Target="https://www.trello.com/pricing" TargetMode="External"/><Relationship Id="rId13" Type="http://schemas.openxmlformats.org/officeDocument/2006/relationships/hyperlink" Target="https://monday.com/pricing" TargetMode="External"/><Relationship Id="rId12" Type="http://schemas.openxmlformats.org/officeDocument/2006/relationships/hyperlink" Target="https://clickup.com/about" TargetMode="External"/><Relationship Id="rId11" Type="http://schemas.openxmlformats.org/officeDocument/2006/relationships/hyperlink" Target="https://clickup.com" TargetMode="External"/><Relationship Id="rId10" Type="http://schemas.openxmlformats.org/officeDocument/2006/relationships/hyperlink" Target="https://clickup.com/features/docs" TargetMode="External"/><Relationship Id="rId1" Type="http://schemas.openxmlformats.org/officeDocument/2006/relationships/hyperlink" Target="https://shimo.im/abo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tabSelected="1" workbookViewId="0">
      <selection activeCell="A12" sqref="A12"/>
    </sheetView>
  </sheetViews>
  <sheetFormatPr defaultColWidth="9" defaultRowHeight="16.8"/>
  <cols>
    <col min="1" max="1" width="130" customWidth="1"/>
  </cols>
  <sheetData>
    <row r="1" ht="20.4" spans="1:1">
      <c r="A1" s="9" t="s">
        <v>0</v>
      </c>
    </row>
    <row r="3" spans="1:1">
      <c r="A3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2" spans="1:1">
      <c r="A12" t="s">
        <v>8</v>
      </c>
    </row>
    <row r="14" spans="1:1">
      <c r="A14" t="s">
        <v>9</v>
      </c>
    </row>
    <row r="15" spans="1:1">
      <c r="A15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workbookViewId="0">
      <pane xSplit="4" ySplit="1" topLeftCell="I2" activePane="bottomRight" state="frozen"/>
      <selection/>
      <selection pane="topRight"/>
      <selection pane="bottomLeft"/>
      <selection pane="bottomRight" activeCell="O2" sqref="O2"/>
    </sheetView>
  </sheetViews>
  <sheetFormatPr defaultColWidth="9" defaultRowHeight="16.8"/>
  <cols>
    <col min="1" max="1" width="4" customWidth="1"/>
    <col min="2" max="2" width="6" customWidth="1"/>
    <col min="3" max="3" width="28" customWidth="1"/>
    <col min="4" max="4" width="14" customWidth="1"/>
    <col min="5" max="5" width="60" customWidth="1"/>
    <col min="6" max="7" width="32" customWidth="1"/>
    <col min="8" max="8" width="18" customWidth="1"/>
    <col min="9" max="9" width="14" customWidth="1"/>
    <col min="10" max="11" width="11" customWidth="1"/>
    <col min="12" max="12" width="14" customWidth="1"/>
    <col min="13" max="13" width="11" customWidth="1"/>
    <col min="14" max="14" width="10" customWidth="1"/>
    <col min="15" max="15" width="30" customWidth="1"/>
  </cols>
  <sheetData>
    <row r="1" ht="36" customHeight="1" spans="1:1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</row>
    <row r="2" ht="68" spans="1:15">
      <c r="A2" s="6">
        <v>1</v>
      </c>
      <c r="B2" s="6" t="s">
        <v>26</v>
      </c>
      <c r="C2" s="6" t="s">
        <v>27</v>
      </c>
      <c r="D2" s="6" t="s">
        <v>28</v>
      </c>
      <c r="E2" s="6" t="s">
        <v>29</v>
      </c>
      <c r="F2" s="7" t="s">
        <v>30</v>
      </c>
      <c r="G2" s="7" t="s">
        <v>31</v>
      </c>
      <c r="H2" s="6" t="s">
        <v>32</v>
      </c>
      <c r="I2" s="6" t="s">
        <v>33</v>
      </c>
      <c r="J2" s="8" t="s">
        <v>34</v>
      </c>
      <c r="K2" s="8" t="s">
        <v>34</v>
      </c>
      <c r="L2" s="8" t="s">
        <v>34</v>
      </c>
      <c r="M2" s="8" t="s">
        <v>34</v>
      </c>
      <c r="N2" s="6" t="str">
        <f t="shared" ref="N2:N51" si="0">IF(COUNTA(J2:M2)&lt;4,"",IF(COUNTIF(J2:M2,"Y")=4,"正确","错误"))</f>
        <v>正确</v>
      </c>
      <c r="O2" s="6" t="s">
        <v>35</v>
      </c>
    </row>
    <row r="3" ht="68" spans="1:15">
      <c r="A3" s="6">
        <v>2</v>
      </c>
      <c r="B3" s="6" t="s">
        <v>26</v>
      </c>
      <c r="C3" s="6" t="s">
        <v>27</v>
      </c>
      <c r="D3" s="6" t="s">
        <v>36</v>
      </c>
      <c r="E3" s="6" t="s">
        <v>37</v>
      </c>
      <c r="F3" s="7" t="s">
        <v>38</v>
      </c>
      <c r="G3" s="7" t="s">
        <v>39</v>
      </c>
      <c r="H3" s="6" t="s">
        <v>40</v>
      </c>
      <c r="I3" s="6" t="s">
        <v>33</v>
      </c>
      <c r="J3" s="8" t="s">
        <v>34</v>
      </c>
      <c r="K3" s="8" t="s">
        <v>34</v>
      </c>
      <c r="L3" s="8" t="s">
        <v>34</v>
      </c>
      <c r="M3" s="8" t="s">
        <v>34</v>
      </c>
      <c r="N3" s="6" t="str">
        <f t="shared" si="0"/>
        <v>正确</v>
      </c>
      <c r="O3" s="6" t="s">
        <v>41</v>
      </c>
    </row>
    <row r="4" ht="51" spans="1:15">
      <c r="A4" s="6">
        <v>3</v>
      </c>
      <c r="B4" s="6" t="s">
        <v>26</v>
      </c>
      <c r="C4" s="6" t="s">
        <v>27</v>
      </c>
      <c r="D4" s="6" t="s">
        <v>28</v>
      </c>
      <c r="E4" s="6" t="s">
        <v>42</v>
      </c>
      <c r="F4" s="7" t="s">
        <v>43</v>
      </c>
      <c r="G4" s="6" t="s">
        <v>44</v>
      </c>
      <c r="H4" s="6" t="s">
        <v>45</v>
      </c>
      <c r="I4" s="6" t="s">
        <v>33</v>
      </c>
      <c r="J4" s="8"/>
      <c r="K4" s="8"/>
      <c r="L4" s="8"/>
      <c r="M4" s="8"/>
      <c r="N4" s="6" t="str">
        <f t="shared" si="0"/>
        <v/>
      </c>
      <c r="O4" s="6" t="s">
        <v>46</v>
      </c>
    </row>
    <row r="5" ht="51" spans="1:15">
      <c r="A5" s="6">
        <v>4</v>
      </c>
      <c r="B5" s="6" t="s">
        <v>26</v>
      </c>
      <c r="C5" s="6" t="s">
        <v>27</v>
      </c>
      <c r="D5" s="6" t="s">
        <v>28</v>
      </c>
      <c r="E5" s="6" t="s">
        <v>47</v>
      </c>
      <c r="F5" s="7" t="s">
        <v>30</v>
      </c>
      <c r="G5" s="6" t="s">
        <v>44</v>
      </c>
      <c r="H5" s="6" t="s">
        <v>48</v>
      </c>
      <c r="I5" s="6" t="s">
        <v>33</v>
      </c>
      <c r="J5" s="8" t="s">
        <v>34</v>
      </c>
      <c r="K5" s="8" t="s">
        <v>34</v>
      </c>
      <c r="L5" s="8" t="s">
        <v>34</v>
      </c>
      <c r="M5" s="8" t="s">
        <v>49</v>
      </c>
      <c r="N5" s="6" t="str">
        <f t="shared" si="0"/>
        <v>错误</v>
      </c>
      <c r="O5" s="6" t="s">
        <v>50</v>
      </c>
    </row>
    <row r="6" ht="68" spans="1:15">
      <c r="A6" s="6">
        <v>5</v>
      </c>
      <c r="B6" s="6" t="s">
        <v>26</v>
      </c>
      <c r="C6" s="6" t="s">
        <v>27</v>
      </c>
      <c r="D6" s="6" t="s">
        <v>28</v>
      </c>
      <c r="E6" s="6" t="s">
        <v>51</v>
      </c>
      <c r="F6" s="7" t="s">
        <v>30</v>
      </c>
      <c r="G6" s="7" t="s">
        <v>43</v>
      </c>
      <c r="H6" s="6" t="s">
        <v>40</v>
      </c>
      <c r="I6" s="6" t="s">
        <v>33</v>
      </c>
      <c r="J6" s="8"/>
      <c r="K6" s="8"/>
      <c r="L6" s="8"/>
      <c r="M6" s="8"/>
      <c r="N6" s="6" t="str">
        <f t="shared" si="0"/>
        <v/>
      </c>
      <c r="O6" s="6" t="s">
        <v>52</v>
      </c>
    </row>
    <row r="7" ht="185" spans="1:15">
      <c r="A7" s="6">
        <v>6</v>
      </c>
      <c r="B7" s="6" t="s">
        <v>53</v>
      </c>
      <c r="C7" s="6" t="s">
        <v>54</v>
      </c>
      <c r="D7" s="6" t="s">
        <v>55</v>
      </c>
      <c r="E7" s="6" t="s">
        <v>56</v>
      </c>
      <c r="F7" s="7" t="s">
        <v>57</v>
      </c>
      <c r="G7" s="6" t="s">
        <v>44</v>
      </c>
      <c r="H7" s="6" t="s">
        <v>48</v>
      </c>
      <c r="I7" s="6" t="s">
        <v>33</v>
      </c>
      <c r="J7" s="8" t="s">
        <v>34</v>
      </c>
      <c r="K7" s="8" t="s">
        <v>34</v>
      </c>
      <c r="L7" s="8" t="s">
        <v>34</v>
      </c>
      <c r="M7" s="8" t="s">
        <v>34</v>
      </c>
      <c r="N7" s="6" t="str">
        <f t="shared" si="0"/>
        <v>正确</v>
      </c>
      <c r="O7" s="6" t="s">
        <v>58</v>
      </c>
    </row>
    <row r="8" ht="152" spans="1:15">
      <c r="A8" s="6">
        <v>7</v>
      </c>
      <c r="B8" s="6" t="s">
        <v>53</v>
      </c>
      <c r="C8" s="6" t="s">
        <v>54</v>
      </c>
      <c r="D8" s="6" t="s">
        <v>59</v>
      </c>
      <c r="E8" s="6" t="s">
        <v>60</v>
      </c>
      <c r="F8" s="7" t="s">
        <v>61</v>
      </c>
      <c r="G8" s="6" t="s">
        <v>44</v>
      </c>
      <c r="H8" s="6" t="s">
        <v>48</v>
      </c>
      <c r="I8" s="6" t="s">
        <v>62</v>
      </c>
      <c r="J8" s="8" t="s">
        <v>34</v>
      </c>
      <c r="K8" s="8" t="s">
        <v>34</v>
      </c>
      <c r="L8" s="8" t="s">
        <v>49</v>
      </c>
      <c r="M8" s="8" t="s">
        <v>34</v>
      </c>
      <c r="N8" s="6" t="str">
        <f t="shared" si="0"/>
        <v>错误</v>
      </c>
      <c r="O8" s="6" t="s">
        <v>63</v>
      </c>
    </row>
    <row r="9" ht="185" spans="1:15">
      <c r="A9" s="6">
        <v>8</v>
      </c>
      <c r="B9" s="6" t="s">
        <v>53</v>
      </c>
      <c r="C9" s="6" t="s">
        <v>54</v>
      </c>
      <c r="D9" s="6" t="s">
        <v>64</v>
      </c>
      <c r="E9" s="6" t="s">
        <v>65</v>
      </c>
      <c r="F9" s="7" t="s">
        <v>66</v>
      </c>
      <c r="G9" s="7" t="s">
        <v>67</v>
      </c>
      <c r="H9" s="6" t="s">
        <v>32</v>
      </c>
      <c r="I9" s="6" t="s">
        <v>62</v>
      </c>
      <c r="J9" s="8" t="s">
        <v>34</v>
      </c>
      <c r="K9" s="8" t="s">
        <v>34</v>
      </c>
      <c r="L9" s="8" t="s">
        <v>34</v>
      </c>
      <c r="M9" s="8" t="s">
        <v>34</v>
      </c>
      <c r="N9" s="6" t="str">
        <f t="shared" si="0"/>
        <v>正确</v>
      </c>
      <c r="O9" s="6" t="s">
        <v>68</v>
      </c>
    </row>
    <row r="10" ht="68" spans="1:15">
      <c r="A10" s="6">
        <v>9</v>
      </c>
      <c r="B10" s="6" t="s">
        <v>53</v>
      </c>
      <c r="C10" s="6" t="s">
        <v>54</v>
      </c>
      <c r="D10" s="6" t="s">
        <v>64</v>
      </c>
      <c r="E10" s="6" t="s">
        <v>69</v>
      </c>
      <c r="F10" s="7" t="s">
        <v>67</v>
      </c>
      <c r="G10" s="7" t="s">
        <v>70</v>
      </c>
      <c r="H10" s="6" t="s">
        <v>32</v>
      </c>
      <c r="I10" s="6" t="s">
        <v>33</v>
      </c>
      <c r="J10" s="8" t="s">
        <v>34</v>
      </c>
      <c r="K10" s="8" t="s">
        <v>34</v>
      </c>
      <c r="L10" s="8" t="s">
        <v>34</v>
      </c>
      <c r="M10" s="8" t="s">
        <v>34</v>
      </c>
      <c r="N10" s="6" t="str">
        <f t="shared" si="0"/>
        <v>正确</v>
      </c>
      <c r="O10" s="6" t="s">
        <v>71</v>
      </c>
    </row>
    <row r="11" ht="51" spans="1:15">
      <c r="A11" s="6">
        <v>10</v>
      </c>
      <c r="B11" s="6" t="s">
        <v>53</v>
      </c>
      <c r="C11" s="6" t="s">
        <v>54</v>
      </c>
      <c r="D11" s="6" t="s">
        <v>64</v>
      </c>
      <c r="E11" s="6" t="s">
        <v>72</v>
      </c>
      <c r="F11" s="7" t="s">
        <v>73</v>
      </c>
      <c r="G11" s="7" t="s">
        <v>74</v>
      </c>
      <c r="H11" s="6" t="s">
        <v>32</v>
      </c>
      <c r="I11" s="6" t="s">
        <v>33</v>
      </c>
      <c r="J11" s="8" t="s">
        <v>34</v>
      </c>
      <c r="K11" s="8" t="s">
        <v>34</v>
      </c>
      <c r="L11" s="8" t="s">
        <v>34</v>
      </c>
      <c r="M11" s="8" t="s">
        <v>34</v>
      </c>
      <c r="N11" s="6" t="str">
        <f t="shared" si="0"/>
        <v>正确</v>
      </c>
      <c r="O11" s="6" t="s">
        <v>75</v>
      </c>
    </row>
    <row r="12" ht="219" spans="1:15">
      <c r="A12" s="6">
        <v>11</v>
      </c>
      <c r="B12" s="6" t="s">
        <v>76</v>
      </c>
      <c r="C12" s="6" t="s">
        <v>77</v>
      </c>
      <c r="D12" s="6" t="s">
        <v>78</v>
      </c>
      <c r="E12" s="6" t="s">
        <v>79</v>
      </c>
      <c r="F12" s="7" t="s">
        <v>80</v>
      </c>
      <c r="G12" s="6" t="s">
        <v>44</v>
      </c>
      <c r="H12" s="6" t="s">
        <v>48</v>
      </c>
      <c r="I12" s="6" t="s">
        <v>33</v>
      </c>
      <c r="J12" s="8" t="s">
        <v>34</v>
      </c>
      <c r="K12" s="8" t="s">
        <v>34</v>
      </c>
      <c r="L12" s="8" t="s">
        <v>34</v>
      </c>
      <c r="M12" s="8" t="s">
        <v>34</v>
      </c>
      <c r="N12" s="6" t="str">
        <f t="shared" si="0"/>
        <v>正确</v>
      </c>
      <c r="O12" s="6" t="s">
        <v>81</v>
      </c>
    </row>
    <row r="13" ht="101" spans="1:15">
      <c r="A13" s="6">
        <v>12</v>
      </c>
      <c r="B13" s="6" t="s">
        <v>76</v>
      </c>
      <c r="C13" s="6" t="s">
        <v>77</v>
      </c>
      <c r="D13" s="6" t="s">
        <v>82</v>
      </c>
      <c r="E13" s="6" t="s">
        <v>83</v>
      </c>
      <c r="F13" s="7" t="s">
        <v>84</v>
      </c>
      <c r="G13" s="7" t="s">
        <v>85</v>
      </c>
      <c r="H13" s="6" t="s">
        <v>86</v>
      </c>
      <c r="I13" s="6" t="s">
        <v>33</v>
      </c>
      <c r="J13" s="8" t="s">
        <v>34</v>
      </c>
      <c r="K13" s="8" t="s">
        <v>34</v>
      </c>
      <c r="L13" s="8" t="s">
        <v>49</v>
      </c>
      <c r="M13" s="8" t="s">
        <v>49</v>
      </c>
      <c r="N13" s="6" t="str">
        <f t="shared" si="0"/>
        <v>错误</v>
      </c>
      <c r="O13" s="6" t="s">
        <v>87</v>
      </c>
    </row>
    <row r="14" ht="118" spans="1:15">
      <c r="A14" s="6">
        <v>13</v>
      </c>
      <c r="B14" s="6" t="s">
        <v>88</v>
      </c>
      <c r="C14" s="6" t="s">
        <v>89</v>
      </c>
      <c r="D14" s="6" t="s">
        <v>90</v>
      </c>
      <c r="E14" s="6" t="s">
        <v>91</v>
      </c>
      <c r="F14" s="7" t="s">
        <v>92</v>
      </c>
      <c r="G14" s="7" t="s">
        <v>93</v>
      </c>
      <c r="H14" s="6" t="s">
        <v>32</v>
      </c>
      <c r="I14" s="6" t="s">
        <v>33</v>
      </c>
      <c r="J14" s="8" t="s">
        <v>34</v>
      </c>
      <c r="K14" s="8" t="s">
        <v>34</v>
      </c>
      <c r="L14" s="8" t="s">
        <v>34</v>
      </c>
      <c r="M14" s="8" t="s">
        <v>34</v>
      </c>
      <c r="N14" s="6" t="str">
        <f t="shared" si="0"/>
        <v>正确</v>
      </c>
      <c r="O14" s="6" t="s">
        <v>94</v>
      </c>
    </row>
    <row r="15" ht="202" spans="1:15">
      <c r="A15" s="6">
        <v>14</v>
      </c>
      <c r="B15" s="6" t="s">
        <v>88</v>
      </c>
      <c r="C15" s="6" t="s">
        <v>89</v>
      </c>
      <c r="D15" s="6" t="s">
        <v>95</v>
      </c>
      <c r="E15" s="6" t="s">
        <v>96</v>
      </c>
      <c r="F15" s="7" t="s">
        <v>97</v>
      </c>
      <c r="G15" s="7" t="s">
        <v>98</v>
      </c>
      <c r="H15" s="6" t="s">
        <v>32</v>
      </c>
      <c r="I15" s="6" t="s">
        <v>62</v>
      </c>
      <c r="J15" s="8" t="s">
        <v>34</v>
      </c>
      <c r="K15" s="8" t="s">
        <v>34</v>
      </c>
      <c r="L15" s="8" t="s">
        <v>49</v>
      </c>
      <c r="M15" s="8" t="s">
        <v>34</v>
      </c>
      <c r="N15" s="6" t="str">
        <f t="shared" si="0"/>
        <v>错误</v>
      </c>
      <c r="O15" s="6" t="s">
        <v>99</v>
      </c>
    </row>
    <row r="16" ht="118" spans="1:15">
      <c r="A16" s="6">
        <v>15</v>
      </c>
      <c r="B16" s="6" t="s">
        <v>88</v>
      </c>
      <c r="C16" s="6" t="s">
        <v>89</v>
      </c>
      <c r="D16" s="6" t="s">
        <v>100</v>
      </c>
      <c r="E16" s="6" t="s">
        <v>101</v>
      </c>
      <c r="F16" s="7" t="s">
        <v>102</v>
      </c>
      <c r="G16" s="7" t="s">
        <v>103</v>
      </c>
      <c r="H16" s="6" t="s">
        <v>32</v>
      </c>
      <c r="I16" s="6" t="s">
        <v>62</v>
      </c>
      <c r="J16" s="8" t="s">
        <v>34</v>
      </c>
      <c r="K16" s="8" t="s">
        <v>34</v>
      </c>
      <c r="L16" s="8" t="s">
        <v>34</v>
      </c>
      <c r="M16" s="8" t="s">
        <v>34</v>
      </c>
      <c r="N16" s="6" t="str">
        <f t="shared" si="0"/>
        <v>正确</v>
      </c>
      <c r="O16" s="6" t="s">
        <v>104</v>
      </c>
    </row>
    <row r="17" ht="51" spans="1:15">
      <c r="A17" s="6">
        <v>16</v>
      </c>
      <c r="B17" s="6" t="s">
        <v>88</v>
      </c>
      <c r="C17" s="6" t="s">
        <v>89</v>
      </c>
      <c r="D17" s="6" t="s">
        <v>100</v>
      </c>
      <c r="E17" s="6" t="s">
        <v>105</v>
      </c>
      <c r="F17" s="7" t="s">
        <v>103</v>
      </c>
      <c r="G17" s="7" t="s">
        <v>106</v>
      </c>
      <c r="H17" s="6" t="s">
        <v>32</v>
      </c>
      <c r="I17" s="6" t="s">
        <v>33</v>
      </c>
      <c r="J17" s="8" t="s">
        <v>34</v>
      </c>
      <c r="K17" s="8" t="s">
        <v>34</v>
      </c>
      <c r="L17" s="8" t="s">
        <v>34</v>
      </c>
      <c r="M17" s="8" t="s">
        <v>34</v>
      </c>
      <c r="N17" s="6" t="str">
        <f t="shared" si="0"/>
        <v>正确</v>
      </c>
      <c r="O17" s="6" t="s">
        <v>107</v>
      </c>
    </row>
    <row r="18" ht="51" spans="1:15">
      <c r="A18" s="6">
        <v>17</v>
      </c>
      <c r="B18" s="6" t="s">
        <v>88</v>
      </c>
      <c r="C18" s="6" t="s">
        <v>89</v>
      </c>
      <c r="D18" s="6" t="s">
        <v>95</v>
      </c>
      <c r="E18" s="6" t="s">
        <v>108</v>
      </c>
      <c r="F18" s="7" t="s">
        <v>109</v>
      </c>
      <c r="G18" s="6" t="s">
        <v>44</v>
      </c>
      <c r="H18" s="6" t="s">
        <v>48</v>
      </c>
      <c r="I18" s="6" t="s">
        <v>33</v>
      </c>
      <c r="J18" s="8" t="s">
        <v>34</v>
      </c>
      <c r="K18" s="8" t="s">
        <v>34</v>
      </c>
      <c r="L18" s="8" t="s">
        <v>34</v>
      </c>
      <c r="M18" s="8" t="s">
        <v>49</v>
      </c>
      <c r="N18" s="6" t="str">
        <f t="shared" si="0"/>
        <v>错误</v>
      </c>
      <c r="O18" s="6" t="s">
        <v>110</v>
      </c>
    </row>
    <row r="19" ht="51" spans="1:15">
      <c r="A19" s="6">
        <v>18</v>
      </c>
      <c r="B19" s="6" t="s">
        <v>111</v>
      </c>
      <c r="C19" s="6" t="s">
        <v>112</v>
      </c>
      <c r="D19" s="6" t="s">
        <v>113</v>
      </c>
      <c r="E19" s="6" t="s">
        <v>114</v>
      </c>
      <c r="F19" s="7" t="s">
        <v>115</v>
      </c>
      <c r="G19" s="7" t="s">
        <v>116</v>
      </c>
      <c r="H19" s="6" t="s">
        <v>40</v>
      </c>
      <c r="I19" s="6" t="s">
        <v>62</v>
      </c>
      <c r="J19" s="8" t="s">
        <v>49</v>
      </c>
      <c r="K19" s="8" t="s">
        <v>49</v>
      </c>
      <c r="L19" s="8" t="s">
        <v>34</v>
      </c>
      <c r="M19" s="8" t="s">
        <v>34</v>
      </c>
      <c r="N19" s="6" t="str">
        <f t="shared" si="0"/>
        <v>错误</v>
      </c>
      <c r="O19" s="6" t="s">
        <v>117</v>
      </c>
    </row>
    <row r="20" ht="68" spans="1:15">
      <c r="A20" s="6">
        <v>19</v>
      </c>
      <c r="B20" s="6" t="s">
        <v>111</v>
      </c>
      <c r="C20" s="6" t="s">
        <v>112</v>
      </c>
      <c r="D20" s="6" t="s">
        <v>113</v>
      </c>
      <c r="E20" s="6" t="s">
        <v>118</v>
      </c>
      <c r="F20" s="7" t="s">
        <v>119</v>
      </c>
      <c r="G20" s="7" t="s">
        <v>120</v>
      </c>
      <c r="H20" s="6" t="s">
        <v>121</v>
      </c>
      <c r="I20" s="6" t="s">
        <v>62</v>
      </c>
      <c r="J20" s="8" t="s">
        <v>34</v>
      </c>
      <c r="K20" s="8" t="s">
        <v>34</v>
      </c>
      <c r="L20" s="8" t="s">
        <v>49</v>
      </c>
      <c r="M20" s="8" t="s">
        <v>49</v>
      </c>
      <c r="N20" s="6" t="str">
        <f t="shared" si="0"/>
        <v>错误</v>
      </c>
      <c r="O20" s="6" t="s">
        <v>122</v>
      </c>
    </row>
    <row r="21" ht="51" spans="1:15">
      <c r="A21" s="6">
        <v>20</v>
      </c>
      <c r="B21" s="6" t="s">
        <v>111</v>
      </c>
      <c r="C21" s="6" t="s">
        <v>112</v>
      </c>
      <c r="D21" s="6" t="s">
        <v>123</v>
      </c>
      <c r="E21" s="6" t="s">
        <v>124</v>
      </c>
      <c r="F21" s="7" t="s">
        <v>125</v>
      </c>
      <c r="G21" s="6" t="s">
        <v>44</v>
      </c>
      <c r="H21" s="6" t="s">
        <v>126</v>
      </c>
      <c r="I21" s="6" t="s">
        <v>62</v>
      </c>
      <c r="J21" s="8" t="s">
        <v>34</v>
      </c>
      <c r="K21" s="8" t="s">
        <v>34</v>
      </c>
      <c r="L21" s="8" t="s">
        <v>34</v>
      </c>
      <c r="M21" s="8" t="s">
        <v>34</v>
      </c>
      <c r="N21" s="6" t="str">
        <f t="shared" si="0"/>
        <v>正确</v>
      </c>
      <c r="O21" s="6" t="s">
        <v>127</v>
      </c>
    </row>
    <row r="22" ht="135" spans="1:15">
      <c r="A22" s="6">
        <v>21</v>
      </c>
      <c r="B22" s="6" t="s">
        <v>111</v>
      </c>
      <c r="C22" s="6" t="s">
        <v>112</v>
      </c>
      <c r="D22" s="6" t="s">
        <v>128</v>
      </c>
      <c r="E22" s="6" t="s">
        <v>129</v>
      </c>
      <c r="F22" s="7" t="s">
        <v>130</v>
      </c>
      <c r="G22" s="7" t="s">
        <v>131</v>
      </c>
      <c r="H22" s="6" t="s">
        <v>86</v>
      </c>
      <c r="I22" s="6" t="s">
        <v>33</v>
      </c>
      <c r="J22" s="8" t="s">
        <v>49</v>
      </c>
      <c r="K22" s="8" t="s">
        <v>49</v>
      </c>
      <c r="L22" s="8" t="s">
        <v>49</v>
      </c>
      <c r="M22" s="8" t="s">
        <v>49</v>
      </c>
      <c r="N22" s="6" t="str">
        <f t="shared" si="0"/>
        <v>错误</v>
      </c>
      <c r="O22" s="6" t="s">
        <v>132</v>
      </c>
    </row>
    <row r="23" ht="68" spans="1:15">
      <c r="A23" s="6">
        <v>22</v>
      </c>
      <c r="B23" s="6" t="s">
        <v>111</v>
      </c>
      <c r="C23" s="6" t="s">
        <v>112</v>
      </c>
      <c r="D23" s="6" t="s">
        <v>128</v>
      </c>
      <c r="E23" s="6" t="s">
        <v>133</v>
      </c>
      <c r="F23" s="7" t="s">
        <v>134</v>
      </c>
      <c r="G23" s="7" t="s">
        <v>135</v>
      </c>
      <c r="H23" s="6" t="s">
        <v>32</v>
      </c>
      <c r="I23" s="6" t="s">
        <v>33</v>
      </c>
      <c r="J23" s="8" t="s">
        <v>34</v>
      </c>
      <c r="K23" s="8" t="s">
        <v>34</v>
      </c>
      <c r="L23" s="8" t="s">
        <v>34</v>
      </c>
      <c r="M23" s="8" t="s">
        <v>34</v>
      </c>
      <c r="N23" s="6" t="str">
        <f t="shared" si="0"/>
        <v>正确</v>
      </c>
      <c r="O23" s="6" t="s">
        <v>136</v>
      </c>
    </row>
    <row r="24" ht="84" spans="1:15">
      <c r="A24" s="6">
        <v>23</v>
      </c>
      <c r="B24" s="6" t="s">
        <v>137</v>
      </c>
      <c r="C24" s="6" t="s">
        <v>138</v>
      </c>
      <c r="D24" s="6" t="s">
        <v>139</v>
      </c>
      <c r="E24" s="6" t="s">
        <v>140</v>
      </c>
      <c r="F24" s="7" t="s">
        <v>141</v>
      </c>
      <c r="G24" s="6" t="s">
        <v>44</v>
      </c>
      <c r="H24" s="6" t="s">
        <v>48</v>
      </c>
      <c r="I24" s="6" t="s">
        <v>62</v>
      </c>
      <c r="J24" s="8" t="s">
        <v>34</v>
      </c>
      <c r="K24" s="8" t="s">
        <v>34</v>
      </c>
      <c r="L24" s="8" t="s">
        <v>34</v>
      </c>
      <c r="M24" s="8" t="s">
        <v>49</v>
      </c>
      <c r="N24" s="6" t="str">
        <f t="shared" si="0"/>
        <v>错误</v>
      </c>
      <c r="O24" s="6" t="s">
        <v>142</v>
      </c>
    </row>
    <row r="25" ht="51" spans="1:15">
      <c r="A25" s="6">
        <v>24</v>
      </c>
      <c r="B25" s="6" t="s">
        <v>137</v>
      </c>
      <c r="C25" s="6" t="s">
        <v>138</v>
      </c>
      <c r="D25" s="6" t="s">
        <v>143</v>
      </c>
      <c r="E25" s="6" t="s">
        <v>144</v>
      </c>
      <c r="F25" s="7" t="s">
        <v>145</v>
      </c>
      <c r="G25" s="6" t="s">
        <v>44</v>
      </c>
      <c r="H25" s="6" t="s">
        <v>48</v>
      </c>
      <c r="I25" s="6" t="s">
        <v>62</v>
      </c>
      <c r="J25" s="8" t="s">
        <v>34</v>
      </c>
      <c r="K25" s="8" t="s">
        <v>34</v>
      </c>
      <c r="L25" s="8" t="s">
        <v>34</v>
      </c>
      <c r="M25" s="8" t="s">
        <v>34</v>
      </c>
      <c r="N25" s="6" t="str">
        <f t="shared" si="0"/>
        <v>正确</v>
      </c>
      <c r="O25" s="6" t="s">
        <v>146</v>
      </c>
    </row>
    <row r="26" ht="152" spans="1:15">
      <c r="A26" s="6">
        <v>25</v>
      </c>
      <c r="B26" s="6" t="s">
        <v>147</v>
      </c>
      <c r="C26" s="6" t="s">
        <v>148</v>
      </c>
      <c r="D26" s="6" t="s">
        <v>149</v>
      </c>
      <c r="E26" s="6" t="s">
        <v>150</v>
      </c>
      <c r="F26" s="7" t="s">
        <v>151</v>
      </c>
      <c r="G26" s="6" t="s">
        <v>44</v>
      </c>
      <c r="H26" s="6" t="s">
        <v>48</v>
      </c>
      <c r="I26" s="6" t="s">
        <v>33</v>
      </c>
      <c r="J26" s="8" t="s">
        <v>34</v>
      </c>
      <c r="K26" s="8" t="s">
        <v>34</v>
      </c>
      <c r="L26" s="8" t="s">
        <v>34</v>
      </c>
      <c r="M26" s="8" t="s">
        <v>34</v>
      </c>
      <c r="N26" s="6" t="str">
        <f t="shared" si="0"/>
        <v>正确</v>
      </c>
      <c r="O26" s="6" t="s">
        <v>152</v>
      </c>
    </row>
    <row r="27" ht="202" spans="1:15">
      <c r="A27" s="6">
        <v>26</v>
      </c>
      <c r="B27" s="6" t="s">
        <v>147</v>
      </c>
      <c r="C27" s="6" t="s">
        <v>148</v>
      </c>
      <c r="D27" s="6" t="s">
        <v>153</v>
      </c>
      <c r="E27" s="6" t="s">
        <v>154</v>
      </c>
      <c r="F27" s="7" t="s">
        <v>155</v>
      </c>
      <c r="G27" s="6" t="s">
        <v>44</v>
      </c>
      <c r="H27" s="6" t="s">
        <v>48</v>
      </c>
      <c r="I27" s="6" t="s">
        <v>33</v>
      </c>
      <c r="J27" s="8" t="s">
        <v>34</v>
      </c>
      <c r="K27" s="8" t="s">
        <v>34</v>
      </c>
      <c r="L27" s="8" t="s">
        <v>34</v>
      </c>
      <c r="M27" s="8" t="s">
        <v>49</v>
      </c>
      <c r="N27" s="6" t="str">
        <f t="shared" si="0"/>
        <v>错误</v>
      </c>
      <c r="O27" s="6" t="s">
        <v>156</v>
      </c>
    </row>
    <row r="28" ht="202" spans="1:15">
      <c r="A28" s="6">
        <v>27</v>
      </c>
      <c r="B28" s="6" t="s">
        <v>147</v>
      </c>
      <c r="C28" s="6" t="s">
        <v>148</v>
      </c>
      <c r="D28" s="6" t="s">
        <v>149</v>
      </c>
      <c r="E28" s="6" t="s">
        <v>157</v>
      </c>
      <c r="F28" s="7" t="s">
        <v>158</v>
      </c>
      <c r="G28" s="7" t="s">
        <v>159</v>
      </c>
      <c r="H28" s="6" t="s">
        <v>160</v>
      </c>
      <c r="I28" s="6" t="s">
        <v>33</v>
      </c>
      <c r="J28" s="8" t="s">
        <v>34</v>
      </c>
      <c r="K28" s="8" t="s">
        <v>34</v>
      </c>
      <c r="L28" s="8" t="s">
        <v>34</v>
      </c>
      <c r="M28" s="8" t="s">
        <v>34</v>
      </c>
      <c r="N28" s="6" t="str">
        <f t="shared" si="0"/>
        <v>正确</v>
      </c>
      <c r="O28" s="6" t="s">
        <v>161</v>
      </c>
    </row>
    <row r="29" ht="236" spans="1:15">
      <c r="A29" s="6">
        <v>28</v>
      </c>
      <c r="B29" s="6" t="s">
        <v>147</v>
      </c>
      <c r="C29" s="6" t="s">
        <v>148</v>
      </c>
      <c r="D29" s="6" t="s">
        <v>162</v>
      </c>
      <c r="E29" s="6" t="s">
        <v>163</v>
      </c>
      <c r="F29" s="7" t="s">
        <v>164</v>
      </c>
      <c r="G29" s="7" t="s">
        <v>165</v>
      </c>
      <c r="H29" s="6" t="s">
        <v>160</v>
      </c>
      <c r="I29" s="6" t="s">
        <v>33</v>
      </c>
      <c r="J29" s="8" t="s">
        <v>34</v>
      </c>
      <c r="K29" s="8" t="s">
        <v>34</v>
      </c>
      <c r="L29" s="8" t="s">
        <v>34</v>
      </c>
      <c r="M29" s="8" t="s">
        <v>34</v>
      </c>
      <c r="N29" s="6" t="str">
        <f t="shared" si="0"/>
        <v>正确</v>
      </c>
      <c r="O29" s="6" t="s">
        <v>166</v>
      </c>
    </row>
    <row r="30" ht="219" spans="1:15">
      <c r="A30" s="6">
        <v>29</v>
      </c>
      <c r="B30" s="6" t="s">
        <v>147</v>
      </c>
      <c r="C30" s="6" t="s">
        <v>148</v>
      </c>
      <c r="D30" s="6" t="s">
        <v>153</v>
      </c>
      <c r="E30" s="6" t="s">
        <v>167</v>
      </c>
      <c r="F30" s="7" t="s">
        <v>168</v>
      </c>
      <c r="G30" s="7" t="s">
        <v>169</v>
      </c>
      <c r="H30" s="6" t="s">
        <v>160</v>
      </c>
      <c r="I30" s="6" t="s">
        <v>33</v>
      </c>
      <c r="J30" s="8" t="s">
        <v>34</v>
      </c>
      <c r="K30" s="8" t="s">
        <v>34</v>
      </c>
      <c r="L30" s="8" t="s">
        <v>34</v>
      </c>
      <c r="M30" s="8" t="s">
        <v>34</v>
      </c>
      <c r="N30" s="6" t="str">
        <f t="shared" si="0"/>
        <v>正确</v>
      </c>
      <c r="O30" s="6" t="s">
        <v>170</v>
      </c>
    </row>
    <row r="31" ht="51" spans="1:15">
      <c r="A31" s="6">
        <v>30</v>
      </c>
      <c r="B31" s="6" t="s">
        <v>171</v>
      </c>
      <c r="C31" s="6" t="s">
        <v>172</v>
      </c>
      <c r="D31" s="6" t="s">
        <v>173</v>
      </c>
      <c r="E31" s="6" t="s">
        <v>174</v>
      </c>
      <c r="F31" s="7" t="s">
        <v>175</v>
      </c>
      <c r="G31" s="6" t="s">
        <v>44</v>
      </c>
      <c r="H31" s="6" t="s">
        <v>48</v>
      </c>
      <c r="I31" s="6" t="s">
        <v>33</v>
      </c>
      <c r="J31" s="8" t="s">
        <v>34</v>
      </c>
      <c r="K31" s="8" t="s">
        <v>34</v>
      </c>
      <c r="L31" s="8" t="s">
        <v>34</v>
      </c>
      <c r="M31" s="8" t="s">
        <v>34</v>
      </c>
      <c r="N31" s="6" t="str">
        <f t="shared" si="0"/>
        <v>正确</v>
      </c>
      <c r="O31" s="6" t="s">
        <v>176</v>
      </c>
    </row>
    <row r="32" ht="68" spans="1:15">
      <c r="A32" s="6">
        <v>31</v>
      </c>
      <c r="B32" s="6" t="s">
        <v>171</v>
      </c>
      <c r="C32" s="6" t="s">
        <v>172</v>
      </c>
      <c r="D32" s="6" t="s">
        <v>173</v>
      </c>
      <c r="E32" s="6" t="s">
        <v>177</v>
      </c>
      <c r="F32" s="7" t="s">
        <v>178</v>
      </c>
      <c r="G32" s="7" t="s">
        <v>179</v>
      </c>
      <c r="H32" s="6" t="s">
        <v>32</v>
      </c>
      <c r="I32" s="6" t="s">
        <v>33</v>
      </c>
      <c r="J32" s="8" t="s">
        <v>34</v>
      </c>
      <c r="K32" s="8" t="s">
        <v>34</v>
      </c>
      <c r="L32" s="8" t="s">
        <v>34</v>
      </c>
      <c r="M32" s="8" t="s">
        <v>34</v>
      </c>
      <c r="N32" s="6" t="str">
        <f t="shared" si="0"/>
        <v>正确</v>
      </c>
      <c r="O32" s="6" t="s">
        <v>180</v>
      </c>
    </row>
    <row r="33" ht="51" spans="1:15">
      <c r="A33" s="6">
        <v>32</v>
      </c>
      <c r="B33" s="6" t="s">
        <v>171</v>
      </c>
      <c r="C33" s="6" t="s">
        <v>172</v>
      </c>
      <c r="D33" s="6" t="s">
        <v>181</v>
      </c>
      <c r="E33" s="6" t="s">
        <v>182</v>
      </c>
      <c r="F33" s="7" t="s">
        <v>183</v>
      </c>
      <c r="G33" s="7" t="s">
        <v>184</v>
      </c>
      <c r="H33" s="6" t="s">
        <v>32</v>
      </c>
      <c r="I33" s="6" t="s">
        <v>33</v>
      </c>
      <c r="J33" s="8" t="s">
        <v>34</v>
      </c>
      <c r="K33" s="8" t="s">
        <v>34</v>
      </c>
      <c r="L33" s="8" t="s">
        <v>34</v>
      </c>
      <c r="M33" s="8" t="s">
        <v>34</v>
      </c>
      <c r="N33" s="6" t="str">
        <f t="shared" si="0"/>
        <v>正确</v>
      </c>
      <c r="O33" s="6" t="s">
        <v>185</v>
      </c>
    </row>
    <row r="34" ht="51" spans="1:15">
      <c r="A34" s="6">
        <v>33</v>
      </c>
      <c r="B34" s="6" t="s">
        <v>171</v>
      </c>
      <c r="C34" s="6" t="s">
        <v>172</v>
      </c>
      <c r="D34" s="6" t="s">
        <v>186</v>
      </c>
      <c r="E34" s="6" t="s">
        <v>187</v>
      </c>
      <c r="F34" s="7" t="s">
        <v>188</v>
      </c>
      <c r="G34" s="7" t="s">
        <v>189</v>
      </c>
      <c r="H34" s="6" t="s">
        <v>32</v>
      </c>
      <c r="I34" s="6" t="s">
        <v>33</v>
      </c>
      <c r="J34" s="8" t="s">
        <v>34</v>
      </c>
      <c r="K34" s="8" t="s">
        <v>34</v>
      </c>
      <c r="L34" s="8" t="s">
        <v>34</v>
      </c>
      <c r="M34" s="8" t="s">
        <v>34</v>
      </c>
      <c r="N34" s="6" t="str">
        <f t="shared" si="0"/>
        <v>正确</v>
      </c>
      <c r="O34" s="6" t="s">
        <v>190</v>
      </c>
    </row>
    <row r="35" ht="68" spans="1:15">
      <c r="A35" s="6">
        <v>34</v>
      </c>
      <c r="B35" s="6" t="s">
        <v>171</v>
      </c>
      <c r="C35" s="6" t="s">
        <v>172</v>
      </c>
      <c r="D35" s="6" t="s">
        <v>173</v>
      </c>
      <c r="E35" s="6" t="s">
        <v>191</v>
      </c>
      <c r="F35" s="7" t="s">
        <v>192</v>
      </c>
      <c r="G35" s="7" t="s">
        <v>178</v>
      </c>
      <c r="H35" s="6" t="s">
        <v>32</v>
      </c>
      <c r="I35" s="6" t="s">
        <v>33</v>
      </c>
      <c r="J35" s="8" t="s">
        <v>34</v>
      </c>
      <c r="K35" s="8" t="s">
        <v>34</v>
      </c>
      <c r="L35" s="8" t="s">
        <v>34</v>
      </c>
      <c r="M35" s="8" t="s">
        <v>34</v>
      </c>
      <c r="N35" s="6" t="str">
        <f t="shared" si="0"/>
        <v>正确</v>
      </c>
      <c r="O35" s="6" t="s">
        <v>193</v>
      </c>
    </row>
    <row r="36" ht="219" spans="1:15">
      <c r="A36" s="6">
        <v>35</v>
      </c>
      <c r="B36" s="6" t="s">
        <v>194</v>
      </c>
      <c r="C36" s="6" t="s">
        <v>195</v>
      </c>
      <c r="D36" s="6" t="s">
        <v>196</v>
      </c>
      <c r="E36" s="6" t="s">
        <v>197</v>
      </c>
      <c r="F36" s="7" t="s">
        <v>198</v>
      </c>
      <c r="G36" s="6" t="s">
        <v>44</v>
      </c>
      <c r="H36" s="6" t="s">
        <v>48</v>
      </c>
      <c r="I36" s="6" t="s">
        <v>33</v>
      </c>
      <c r="J36" s="8" t="s">
        <v>34</v>
      </c>
      <c r="K36" s="8" t="s">
        <v>34</v>
      </c>
      <c r="L36" s="8" t="s">
        <v>34</v>
      </c>
      <c r="M36" s="8" t="s">
        <v>34</v>
      </c>
      <c r="N36" s="6" t="str">
        <f t="shared" si="0"/>
        <v>正确</v>
      </c>
      <c r="O36" s="6" t="s">
        <v>199</v>
      </c>
    </row>
    <row r="37" ht="202" spans="1:15">
      <c r="A37" s="6">
        <v>36</v>
      </c>
      <c r="B37" s="6" t="s">
        <v>194</v>
      </c>
      <c r="C37" s="6" t="s">
        <v>195</v>
      </c>
      <c r="D37" s="6" t="s">
        <v>200</v>
      </c>
      <c r="E37" s="6" t="s">
        <v>201</v>
      </c>
      <c r="F37" s="7" t="s">
        <v>202</v>
      </c>
      <c r="G37" s="7" t="s">
        <v>203</v>
      </c>
      <c r="H37" s="6" t="s">
        <v>40</v>
      </c>
      <c r="I37" s="6" t="s">
        <v>33</v>
      </c>
      <c r="J37" s="8" t="s">
        <v>34</v>
      </c>
      <c r="K37" s="8" t="s">
        <v>34</v>
      </c>
      <c r="L37" s="8" t="s">
        <v>49</v>
      </c>
      <c r="M37" s="8" t="s">
        <v>34</v>
      </c>
      <c r="N37" s="6" t="str">
        <f t="shared" si="0"/>
        <v>错误</v>
      </c>
      <c r="O37" s="6" t="s">
        <v>204</v>
      </c>
    </row>
    <row r="38" ht="269" spans="1:15">
      <c r="A38" s="6">
        <v>37</v>
      </c>
      <c r="B38" s="6" t="s">
        <v>194</v>
      </c>
      <c r="C38" s="6" t="s">
        <v>195</v>
      </c>
      <c r="D38" s="6" t="s">
        <v>205</v>
      </c>
      <c r="E38" s="6" t="s">
        <v>206</v>
      </c>
      <c r="F38" s="7" t="s">
        <v>207</v>
      </c>
      <c r="G38" s="7" t="s">
        <v>208</v>
      </c>
      <c r="H38" s="6" t="s">
        <v>32</v>
      </c>
      <c r="I38" s="6" t="s">
        <v>62</v>
      </c>
      <c r="J38" s="8" t="s">
        <v>34</v>
      </c>
      <c r="K38" s="8" t="s">
        <v>34</v>
      </c>
      <c r="L38" s="8" t="s">
        <v>34</v>
      </c>
      <c r="M38" s="8" t="s">
        <v>49</v>
      </c>
      <c r="N38" s="6" t="str">
        <f t="shared" si="0"/>
        <v>错误</v>
      </c>
      <c r="O38" s="6" t="s">
        <v>209</v>
      </c>
    </row>
    <row r="39" ht="68" spans="1:15">
      <c r="A39" s="6">
        <v>38</v>
      </c>
      <c r="B39" s="6" t="s">
        <v>194</v>
      </c>
      <c r="C39" s="6" t="s">
        <v>195</v>
      </c>
      <c r="D39" s="6" t="s">
        <v>205</v>
      </c>
      <c r="E39" s="6" t="s">
        <v>210</v>
      </c>
      <c r="F39" s="7" t="s">
        <v>211</v>
      </c>
      <c r="G39" s="7" t="s">
        <v>212</v>
      </c>
      <c r="H39" s="6" t="s">
        <v>32</v>
      </c>
      <c r="I39" s="6" t="s">
        <v>33</v>
      </c>
      <c r="J39" s="8" t="s">
        <v>34</v>
      </c>
      <c r="K39" s="8" t="s">
        <v>34</v>
      </c>
      <c r="L39" s="8" t="s">
        <v>34</v>
      </c>
      <c r="M39" s="8" t="s">
        <v>34</v>
      </c>
      <c r="N39" s="6" t="str">
        <f t="shared" si="0"/>
        <v>正确</v>
      </c>
      <c r="O39" s="6" t="s">
        <v>213</v>
      </c>
    </row>
    <row r="40" ht="202" spans="1:15">
      <c r="A40" s="6">
        <v>39</v>
      </c>
      <c r="B40" s="6" t="s">
        <v>194</v>
      </c>
      <c r="C40" s="6" t="s">
        <v>195</v>
      </c>
      <c r="D40" s="6" t="s">
        <v>200</v>
      </c>
      <c r="E40" s="6" t="s">
        <v>214</v>
      </c>
      <c r="F40" s="7" t="s">
        <v>215</v>
      </c>
      <c r="G40" s="7" t="s">
        <v>216</v>
      </c>
      <c r="H40" s="6" t="s">
        <v>160</v>
      </c>
      <c r="I40" s="6" t="s">
        <v>33</v>
      </c>
      <c r="J40" s="8" t="s">
        <v>34</v>
      </c>
      <c r="K40" s="8" t="s">
        <v>34</v>
      </c>
      <c r="L40" s="8" t="s">
        <v>34</v>
      </c>
      <c r="M40" s="8" t="s">
        <v>34</v>
      </c>
      <c r="N40" s="6" t="str">
        <f t="shared" si="0"/>
        <v>正确</v>
      </c>
      <c r="O40" s="6" t="s">
        <v>217</v>
      </c>
    </row>
    <row r="41" ht="152" spans="1:15">
      <c r="A41" s="6">
        <v>40</v>
      </c>
      <c r="B41" s="6" t="s">
        <v>218</v>
      </c>
      <c r="C41" s="6" t="s">
        <v>219</v>
      </c>
      <c r="D41" s="6" t="s">
        <v>220</v>
      </c>
      <c r="E41" s="6" t="s">
        <v>221</v>
      </c>
      <c r="F41" s="7" t="s">
        <v>222</v>
      </c>
      <c r="G41" s="6" t="s">
        <v>44</v>
      </c>
      <c r="H41" s="6" t="s">
        <v>48</v>
      </c>
      <c r="I41" s="6" t="s">
        <v>33</v>
      </c>
      <c r="J41" s="8" t="s">
        <v>34</v>
      </c>
      <c r="K41" s="8" t="s">
        <v>34</v>
      </c>
      <c r="L41" s="8" t="s">
        <v>34</v>
      </c>
      <c r="M41" s="8" t="s">
        <v>34</v>
      </c>
      <c r="N41" s="6" t="str">
        <f t="shared" si="0"/>
        <v>正确</v>
      </c>
      <c r="O41" s="6" t="s">
        <v>223</v>
      </c>
    </row>
    <row r="42" ht="34" spans="1:15">
      <c r="A42" s="6">
        <v>41</v>
      </c>
      <c r="B42" s="6" t="s">
        <v>218</v>
      </c>
      <c r="C42" s="6" t="s">
        <v>219</v>
      </c>
      <c r="D42" s="6" t="s">
        <v>220</v>
      </c>
      <c r="E42" s="6" t="s">
        <v>224</v>
      </c>
      <c r="F42" s="7" t="s">
        <v>225</v>
      </c>
      <c r="G42" s="7" t="s">
        <v>226</v>
      </c>
      <c r="H42" s="6" t="s">
        <v>32</v>
      </c>
      <c r="I42" s="6" t="s">
        <v>33</v>
      </c>
      <c r="J42" s="8" t="s">
        <v>34</v>
      </c>
      <c r="K42" s="8" t="s">
        <v>34</v>
      </c>
      <c r="L42" s="8" t="s">
        <v>34</v>
      </c>
      <c r="M42" s="8" t="s">
        <v>34</v>
      </c>
      <c r="N42" s="6" t="str">
        <f t="shared" si="0"/>
        <v>正确</v>
      </c>
      <c r="O42" s="6" t="s">
        <v>227</v>
      </c>
    </row>
    <row r="43" ht="51" spans="1:15">
      <c r="A43" s="6">
        <v>42</v>
      </c>
      <c r="B43" s="6" t="s">
        <v>53</v>
      </c>
      <c r="C43" s="6" t="s">
        <v>54</v>
      </c>
      <c r="D43" s="6" t="s">
        <v>59</v>
      </c>
      <c r="E43" s="6" t="s">
        <v>228</v>
      </c>
      <c r="F43" s="7" t="s">
        <v>229</v>
      </c>
      <c r="G43" s="7" t="s">
        <v>230</v>
      </c>
      <c r="H43" s="6" t="s">
        <v>32</v>
      </c>
      <c r="I43" s="6" t="s">
        <v>33</v>
      </c>
      <c r="J43" s="8" t="s">
        <v>34</v>
      </c>
      <c r="K43" s="8" t="s">
        <v>34</v>
      </c>
      <c r="L43" s="8" t="s">
        <v>34</v>
      </c>
      <c r="M43" s="8" t="s">
        <v>34</v>
      </c>
      <c r="N43" s="6" t="str">
        <f t="shared" si="0"/>
        <v>正确</v>
      </c>
      <c r="O43" s="6" t="s">
        <v>231</v>
      </c>
    </row>
    <row r="44" ht="84" spans="1:15">
      <c r="A44" s="6">
        <v>43</v>
      </c>
      <c r="B44" s="6" t="s">
        <v>111</v>
      </c>
      <c r="C44" s="6" t="s">
        <v>112</v>
      </c>
      <c r="D44" s="6" t="s">
        <v>113</v>
      </c>
      <c r="E44" s="6" t="s">
        <v>232</v>
      </c>
      <c r="F44" s="7" t="s">
        <v>233</v>
      </c>
      <c r="G44" s="7" t="s">
        <v>234</v>
      </c>
      <c r="H44" s="6" t="s">
        <v>86</v>
      </c>
      <c r="I44" s="6" t="s">
        <v>33</v>
      </c>
      <c r="J44" s="8" t="s">
        <v>34</v>
      </c>
      <c r="K44" s="8" t="s">
        <v>34</v>
      </c>
      <c r="L44" s="8" t="s">
        <v>49</v>
      </c>
      <c r="M44" s="8" t="s">
        <v>34</v>
      </c>
      <c r="N44" s="6" t="str">
        <f t="shared" si="0"/>
        <v>错误</v>
      </c>
      <c r="O44" s="6" t="s">
        <v>235</v>
      </c>
    </row>
    <row r="45" ht="68" spans="1:15">
      <c r="A45" s="6">
        <v>44</v>
      </c>
      <c r="B45" s="6" t="s">
        <v>194</v>
      </c>
      <c r="C45" s="6" t="s">
        <v>195</v>
      </c>
      <c r="D45" s="6" t="s">
        <v>200</v>
      </c>
      <c r="E45" s="6" t="s">
        <v>236</v>
      </c>
      <c r="F45" s="7" t="s">
        <v>202</v>
      </c>
      <c r="G45" s="7" t="s">
        <v>237</v>
      </c>
      <c r="H45" s="6" t="s">
        <v>32</v>
      </c>
      <c r="I45" s="6" t="s">
        <v>33</v>
      </c>
      <c r="J45" s="8" t="s">
        <v>34</v>
      </c>
      <c r="K45" s="8" t="s">
        <v>34</v>
      </c>
      <c r="L45" s="8" t="s">
        <v>34</v>
      </c>
      <c r="M45" s="8" t="s">
        <v>34</v>
      </c>
      <c r="N45" s="6" t="str">
        <f t="shared" si="0"/>
        <v>正确</v>
      </c>
      <c r="O45" s="6" t="s">
        <v>238</v>
      </c>
    </row>
    <row r="46" ht="202" spans="1:15">
      <c r="A46" s="6">
        <v>45</v>
      </c>
      <c r="B46" s="6" t="s">
        <v>194</v>
      </c>
      <c r="C46" s="6" t="s">
        <v>195</v>
      </c>
      <c r="D46" s="6" t="s">
        <v>196</v>
      </c>
      <c r="E46" s="6" t="s">
        <v>239</v>
      </c>
      <c r="F46" s="7" t="s">
        <v>240</v>
      </c>
      <c r="G46" s="7" t="s">
        <v>241</v>
      </c>
      <c r="H46" s="6" t="s">
        <v>160</v>
      </c>
      <c r="I46" s="6" t="s">
        <v>33</v>
      </c>
      <c r="J46" s="8" t="s">
        <v>34</v>
      </c>
      <c r="K46" s="8" t="s">
        <v>34</v>
      </c>
      <c r="L46" s="8" t="s">
        <v>34</v>
      </c>
      <c r="M46" s="8" t="s">
        <v>34</v>
      </c>
      <c r="N46" s="6" t="str">
        <f t="shared" si="0"/>
        <v>正确</v>
      </c>
      <c r="O46" s="6" t="s">
        <v>242</v>
      </c>
    </row>
    <row r="47" ht="118" spans="1:15">
      <c r="A47" s="6">
        <v>46</v>
      </c>
      <c r="B47" s="6" t="s">
        <v>194</v>
      </c>
      <c r="C47" s="6" t="s">
        <v>195</v>
      </c>
      <c r="D47" s="6" t="s">
        <v>200</v>
      </c>
      <c r="E47" s="6" t="s">
        <v>243</v>
      </c>
      <c r="F47" s="6" t="s">
        <v>44</v>
      </c>
      <c r="G47" s="6" t="s">
        <v>44</v>
      </c>
      <c r="H47" s="6" t="s">
        <v>44</v>
      </c>
      <c r="I47" s="6" t="s">
        <v>33</v>
      </c>
      <c r="J47" s="8" t="s">
        <v>49</v>
      </c>
      <c r="K47" s="8" t="s">
        <v>49</v>
      </c>
      <c r="L47" s="8" t="s">
        <v>49</v>
      </c>
      <c r="M47" s="8" t="s">
        <v>49</v>
      </c>
      <c r="N47" s="6" t="str">
        <f t="shared" si="0"/>
        <v>错误</v>
      </c>
      <c r="O47" s="6" t="s">
        <v>244</v>
      </c>
    </row>
    <row r="48" ht="51" spans="1:15">
      <c r="A48" s="6">
        <v>47</v>
      </c>
      <c r="B48" s="6" t="s">
        <v>88</v>
      </c>
      <c r="C48" s="6" t="s">
        <v>89</v>
      </c>
      <c r="D48" s="6" t="s">
        <v>100</v>
      </c>
      <c r="E48" s="6" t="s">
        <v>245</v>
      </c>
      <c r="F48" s="7" t="s">
        <v>246</v>
      </c>
      <c r="G48" s="6" t="s">
        <v>44</v>
      </c>
      <c r="H48" s="6" t="s">
        <v>48</v>
      </c>
      <c r="I48" s="6" t="s">
        <v>33</v>
      </c>
      <c r="J48" s="8" t="s">
        <v>34</v>
      </c>
      <c r="K48" s="8" t="s">
        <v>34</v>
      </c>
      <c r="L48" s="8" t="s">
        <v>34</v>
      </c>
      <c r="M48" s="8" t="s">
        <v>34</v>
      </c>
      <c r="N48" s="6" t="str">
        <f t="shared" si="0"/>
        <v>正确</v>
      </c>
      <c r="O48" s="6" t="s">
        <v>247</v>
      </c>
    </row>
    <row r="49" ht="51" spans="1:15">
      <c r="A49" s="6">
        <v>48</v>
      </c>
      <c r="B49" s="6" t="s">
        <v>111</v>
      </c>
      <c r="C49" s="6" t="s">
        <v>112</v>
      </c>
      <c r="D49" s="6" t="s">
        <v>123</v>
      </c>
      <c r="E49" s="6" t="s">
        <v>248</v>
      </c>
      <c r="F49" s="7" t="s">
        <v>109</v>
      </c>
      <c r="G49" s="6" t="s">
        <v>44</v>
      </c>
      <c r="H49" s="6" t="s">
        <v>48</v>
      </c>
      <c r="I49" s="6" t="s">
        <v>33</v>
      </c>
      <c r="J49" s="8" t="s">
        <v>34</v>
      </c>
      <c r="K49" s="8" t="s">
        <v>34</v>
      </c>
      <c r="L49" s="8" t="s">
        <v>34</v>
      </c>
      <c r="M49" s="8" t="s">
        <v>34</v>
      </c>
      <c r="N49" s="6" t="str">
        <f t="shared" si="0"/>
        <v>正确</v>
      </c>
      <c r="O49" s="6" t="s">
        <v>249</v>
      </c>
    </row>
    <row r="50" ht="101" spans="1:15">
      <c r="A50" s="6">
        <v>49</v>
      </c>
      <c r="B50" s="6" t="s">
        <v>88</v>
      </c>
      <c r="C50" s="6" t="s">
        <v>89</v>
      </c>
      <c r="D50" s="6" t="s">
        <v>90</v>
      </c>
      <c r="E50" s="6" t="s">
        <v>250</v>
      </c>
      <c r="F50" s="7" t="s">
        <v>251</v>
      </c>
      <c r="G50" s="6" t="s">
        <v>44</v>
      </c>
      <c r="H50" s="6" t="s">
        <v>252</v>
      </c>
      <c r="I50" s="6" t="s">
        <v>33</v>
      </c>
      <c r="J50" s="8" t="s">
        <v>34</v>
      </c>
      <c r="K50" s="8" t="s">
        <v>34</v>
      </c>
      <c r="L50" s="8" t="s">
        <v>34</v>
      </c>
      <c r="M50" s="8" t="s">
        <v>34</v>
      </c>
      <c r="N50" s="6" t="str">
        <f t="shared" si="0"/>
        <v>正确</v>
      </c>
      <c r="O50" s="6" t="s">
        <v>253</v>
      </c>
    </row>
    <row r="51" ht="68" spans="1:15">
      <c r="A51" s="6">
        <v>50</v>
      </c>
      <c r="B51" s="6" t="s">
        <v>194</v>
      </c>
      <c r="C51" s="6" t="s">
        <v>195</v>
      </c>
      <c r="D51" s="6" t="s">
        <v>200</v>
      </c>
      <c r="E51" s="6" t="s">
        <v>254</v>
      </c>
      <c r="F51" s="7" t="s">
        <v>255</v>
      </c>
      <c r="G51" s="7" t="s">
        <v>256</v>
      </c>
      <c r="H51" s="6" t="s">
        <v>40</v>
      </c>
      <c r="I51" s="6" t="s">
        <v>33</v>
      </c>
      <c r="J51" s="8" t="s">
        <v>34</v>
      </c>
      <c r="K51" s="8" t="s">
        <v>34</v>
      </c>
      <c r="L51" s="8" t="s">
        <v>49</v>
      </c>
      <c r="M51" s="8" t="s">
        <v>34</v>
      </c>
      <c r="N51" s="6" t="str">
        <f t="shared" si="0"/>
        <v>错误</v>
      </c>
      <c r="O51" s="6" t="s">
        <v>257</v>
      </c>
    </row>
  </sheetData>
  <autoFilter xmlns:etc="http://www.wps.cn/officeDocument/2017/etCustomData" ref="A1:O51" etc:filterBottomFollowUsedRange="0">
    <extLst/>
  </autoFilter>
  <conditionalFormatting sqref="N2:N51">
    <cfRule type="expression" dxfId="0" priority="1">
      <formula>N2="错误"</formula>
    </cfRule>
    <cfRule type="expression" dxfId="1" priority="2">
      <formula>N2="正确"</formula>
    </cfRule>
  </conditionalFormatting>
  <dataValidations count="1">
    <dataValidation type="list" allowBlank="1" sqref="J2:M51">
      <formula1>"Y,N"</formula1>
    </dataValidation>
  </dataValidations>
  <hyperlinks>
    <hyperlink ref="F2" r:id="rId1" display="https://shimo.im/about"/>
    <hyperlink ref="G2" r:id="rId2" display="https://shimo.im"/>
    <hyperlink ref="F3" r:id="rId3" display="https://docs.qq.com"/>
    <hyperlink ref="G3" r:id="rId4" display="https://www.cnpp.cn/pinpai/135822.html"/>
    <hyperlink ref="F4" r:id="rId5" display="https://www.kaifain.com/b/ae4b294ae802d3b1"/>
    <hyperlink ref="F5" r:id="rId1" display="https://shimo.im/about"/>
    <hyperlink ref="F6" r:id="rId1" display="https://shimo.im/about"/>
    <hyperlink ref="G6" r:id="rId5" display="https://www.kaifain.com/b/ae4b294ae802d3b1"/>
    <hyperlink ref="F7" r:id="rId6" display="https://www.notion.com/pricing"/>
    <hyperlink ref="F8" r:id="rId7" display="https://www.partnershare.cn/product/coda-coda/price"/>
    <hyperlink ref="F9" r:id="rId8" display="https://clickup.com/pricing"/>
    <hyperlink ref="G9" r:id="rId9" display="https://clickup.com/features/tasks"/>
    <hyperlink ref="F10" r:id="rId9" display="https://clickup.com/features/tasks"/>
    <hyperlink ref="G10" r:id="rId10" display="https://clickup.com/features/docs"/>
    <hyperlink ref="F11" r:id="rId11" display="https://clickup.com"/>
    <hyperlink ref="G11" r:id="rId12" display="https://clickup.com/about"/>
    <hyperlink ref="F12" r:id="rId13" display="https://monday.com/pricing"/>
    <hyperlink ref="F13" r:id="rId14" display="https://www.trello.com/pricing"/>
    <hyperlink ref="G13" r:id="rId15" display="https://lifestack.ai/blog/trello-pricing"/>
    <hyperlink ref="F14" r:id="rId16" display="https://www.salesforce.com/ap/?ir=1&amp;bc=DB"/>
    <hyperlink ref="G14" r:id="rId17" display="https://www.salesforce.com/pricing/?bc=DB"/>
    <hyperlink ref="F15" r:id="rId18" display="https://www.partnershare.cn/product/hubspot-sales-hub/price"/>
    <hyperlink ref="G15" r:id="rId19" display="https://www.vendr.com/marketplace/hubspot"/>
    <hyperlink ref="F16" r:id="rId20" display="https://www.fxiaoke.com/ap/market-price"/>
    <hyperlink ref="G16" r:id="rId21" display="https://www.fxiaoke.com/"/>
    <hyperlink ref="F17" r:id="rId21" display="https://www.fxiaoke.com/"/>
    <hyperlink ref="G17" r:id="rId22" display="https://www.fxiaoke.com/ap/product-xs/"/>
    <hyperlink ref="F18" r:id="rId23" display="https://www.hubspot.com/our-story"/>
    <hyperlink ref="F19" r:id="rId24" display="https://careers.doodle.com/"/>
    <hyperlink ref="G19" r:id="rId25" display="https://www.linkedin.com/company/doodle-ag"/>
    <hyperlink ref="F20" r:id="rId26" display="https://www.coindesk.com/business/2022/09/13/nft-marketplace-doodles-raises-54m-at-704m-valuation"/>
    <hyperlink ref="G20" r:id="rId27" display="https://multiples.vc/private-comps/doodles"/>
    <hyperlink ref="F21" r:id="rId28" display="https://startupintros.com/orgs/hubspot"/>
    <hyperlink ref="F22" r:id="rId29" display="https://cal.com/blog/seed"/>
    <hyperlink ref="G22" r:id="rId30" display="https://startupintros.com/orgs/cal-com"/>
    <hyperlink ref="F23" r:id="rId31" display="https://cal.com"/>
    <hyperlink ref="G23" r:id="rId32" display="https://cal.com/about"/>
    <hyperlink ref="F24" r:id="rId33" display="https://www.larksuite.com/en_sg/plans"/>
    <hyperlink ref="F25" r:id="rId34" display="https://www.dingtalk.com/"/>
    <hyperlink ref="F26" r:id="rId35" display="https://zoom.us/pricing"/>
    <hyperlink ref="F27" r:id="rId36" display="https://workspace.google.com/pricing"/>
    <hyperlink ref="F28" r:id="rId37" display="https://news.google.com/rss/articles/CBMia0FVX3lxTE52czFOS0owbEhHa21mc05wck9BSDVzT1JOalViZnRFcTJKY0lHNkgyX3liQk5SZVJuNV9sN2IzZmZjb1NaVUpYdVFmMUp0Z3o4TUR0Z2pDTFBqUTk3ZS1SRURIdV9XSkVmNFg0?oc=5"/>
    <hyperlink ref="G28" r:id="rId38" display="https://news.google.com/rss/articles/CBMiakFVX3lxTFBmcUFFVGltR29GUU1qSzgta0k0MV95VGV2RmdwQ2ZZUGhSelVBTHBESklzM1ZKTEFPX21GUC1ob0MzVnBBenRSWTVBSzdQelVpankycklNRE1ER25ka1NnZE1nbnVTUl9UY0E?oc=5"/>
    <hyperlink ref="F29" r:id="rId39" display="https://news.google.com/rss/articles/CBMiqwFBVV95cUxQNW1ldWxsaC1Lb2NPYkUyWndzSXpiZlNvZUpGVUZyQTdkcFVMbTl6dXFjRWZHRURzbjBFY2wtVVA3NEVLUWZmZmdlMkdxZm5mWlMyVFVBSmRKUmVOUVh3VERKLWVfQmlzX1FvWm1yanhabWN3SDJhbFF5cGhkb3kxMGxLeXBtVVRpNEVMckdTUGxEVTNzMFRUYmE0ZVRfeXJPb3c1aDlxNFJPSjQ?oc=5"/>
    <hyperlink ref="G29" r:id="rId40" display="https://news.google.com/rss/articles/CBMiyAFBVV95cUxQZ0UtTGdQYVp2VllBaS1qQU9abXpxUFhJUmk5UEt5Q3NfeUcxRDZPSTl4c3JGSzhxV19Nc3luejNxM2luUXhEaUtQbkpVWnVERGFJaHQ5TDJrZmtOb1B1RWZPQjUxeHlZYThURWdFSHBUOGFueHRmSmI0REptamdsYXNuZ3JHS3VWSURUWktHT0I1TGw2Wl96OFVqdU02cGJEcFNLTE91dEp4YXUwSHdlWUdJb2NqTElyOFJGUW5aMEtDUGJHRFVTZQ?oc=5"/>
    <hyperlink ref="F30" r:id="rId41" display="https://news.google.com/rss/articles/CBMiYkFVX3lxTE56VGoxN1dUZkpZWEtTeGhQRzd6WlFqS2pwVTFDVHpkSW5aX2hVVktMVWhaNjlmU0xoUVU0d0ZWM2dyeGVFOVZJeUNRZFFUQURlazBOT1ZFMldTNG52ZjNCd19B?oc=5"/>
    <hyperlink ref="G30" r:id="rId42" display="https://news.google.com/rss/articles/CBMiwgFBVV95cUxPTGxuMVdQOUlvclJfTzU2dE14Qm51S1NMZWZXOXhHeGdxck8zSEtxaDFLYzlOajJ5ZDRWQ3RsVzNEaGxhQUtuZmlpZmxhVFp6SkNiendPWm1XeGM1cHIxZXV2Y0FBeFVEU3BPNTYwN3pXQkp2QlE4akRWR21FOUJhVS1wUDNURmNCU2I0dVBPNXVhMnJneGZWTGJmSzlPOU55NkgxazVoY2JmeXdrLTJOV0RkOGtTdDdoVnJra0ZsNXRCQQ?oc=5"/>
    <hyperlink ref="F31" r:id="rId43" display="https://www.helpscout.com/company/careers/"/>
    <hyperlink ref="F32" r:id="rId44" display="https://www.helpscout.com/about/"/>
    <hyperlink ref="G32" r:id="rId45" display="https://www.helpscout.com"/>
    <hyperlink ref="F33" r:id="rId46" display="https://www.freshworks.com/freshdesk/"/>
    <hyperlink ref="G33" r:id="rId47" display="https://www.freshworks.com/company/about/"/>
    <hyperlink ref="F34" r:id="rId48" display="https://www.zendesk.com/sg/company/"/>
    <hyperlink ref="G34" r:id="rId49" display="https://www.zendesk.com/sg/company/agreements-and-terms/privacy-notice/"/>
    <hyperlink ref="F35" r:id="rId50" display="https://www.helpscout.com/company/legal/terms-of-service/"/>
    <hyperlink ref="G35" r:id="rId44" display="https://www.helpscout.com/about/"/>
    <hyperlink ref="F36" r:id="rId51" display="https://www.figma.com/pricing/"/>
    <hyperlink ref="F37" r:id="rId52" display="https://www.canva.com/pricing/"/>
    <hyperlink ref="G37" r:id="rId53" display="https://www.canva.com/help/subscription-options/"/>
    <hyperlink ref="F38" r:id="rId54" display="https://www.sketch.com/license/"/>
    <hyperlink ref="G38" r:id="rId55" display="https://www.sketch.com/pricing/"/>
    <hyperlink ref="F39" r:id="rId56" display="https://www.sketch.com"/>
    <hyperlink ref="G39" r:id="rId57" display="https://www.sketch.com/about-us/"/>
    <hyperlink ref="F40" r:id="rId58" display="https://news.google.com/rss/articles/CBMikwFBVV95cUxQR05XNUt3S2l1QkotOUJTMG1HZlpaeWFTXzFFbXZHOFpIa25pODdkTXdvd2VTS2tZb1pKY05ieHB6YUtPLW5DNUpPTzlPc3BDd0dFY3VDSVc3U05VcEV2LVAxVjNfaF9aZGk3bEVCVTlxQ0ZFUExzMWxjUHFTcVpPa1BseW5rdFl1dmN6REd2TkxVWjA?oc=5"/>
    <hyperlink ref="G40" r:id="rId59" display="https://news.google.com/rss/articles/CBMiigFBVV95cUxNd21jWkQ5TzJTSGZRdl9YQVBqMWNLR3JRME9XX0JiZUJ4OXRFbjZSeWZ3NTlrT3VPLWhQeElXbzJueHAzU1hhUlB6LXFWQ1MyQXFPcUJ1ZU9Vd0ZjbkFmWjY4Y05JOU9KNGk4d3FIVTA5aFhUeHJueG5RVnhwNjgwcUpMQzBiUUc2OEE?oc=5"/>
    <hyperlink ref="F41" r:id="rId60" display="https://linear.app/pricing"/>
    <hyperlink ref="F42" r:id="rId61" display="https://linear.app/contact/sales"/>
    <hyperlink ref="G42" r:id="rId62" display="https://linear.app/contact"/>
    <hyperlink ref="F43" r:id="rId63" display="https://coda.io"/>
    <hyperlink ref="G43" r:id="rId64" display="https://coda.io/product"/>
    <hyperlink ref="F44" r:id="rId65" display="https://help.doodle.com/en/articles/9457354-who-develops-and-operates-doodle"/>
    <hyperlink ref="G44" r:id="rId66" display="https://doodle.com/en/website-imprint/"/>
    <hyperlink ref="F45" r:id="rId52" display="https://www.canva.com/pricing/"/>
    <hyperlink ref="G45" r:id="rId67" display="https://www.canva.com/features/"/>
    <hyperlink ref="F46" r:id="rId68" display="https://news.google.com/rss/articles/CBMiqAFBVV95cUxOb3ZuaWwzQlZKUEF6eEdZeEticm9PMG1WdWZGVEI4eWRoaEt4aFhHRGloLVJSdzlzeTJzSlY0SlBnR0czbnN2c05yUFBUVF9QaUR1MEtMNlhacmVYbGIzQm5maEVHY21zOGo0cGp2bGszbUlnSnZ1UzI5bXN4clNEaUFBcVU0NXRIZW5KVTBJTVdJVGxnMTkzcE5FeTV0Y3BFNGtUdmtTdV8?oc=5"/>
    <hyperlink ref="G46" r:id="rId69" display="https://news.google.com/rss/articles/CBMitwFBVV95cUxOeVl3TUpFMUJ3Qmd5RmRRLUtienRuSEJia1dtd24wVm5iMHFhbUQ0aFFRUk56cWVJQ01PZmJPVVZBN3JHVGpFTXVNX1ozNElOSGY3MFZ3WTJJYXEwZmIyc21NVjlKRFZRU3hHVTBxNVg5WGpxdmZJcm56cDAtdm1ob0llbmV0VllnNFdlbkcxTTJVUldIYTR6bXp0WHNteW93X0tyT1N4LUtEOGpORlU1eWRDZndJS2M?oc=5"/>
    <hyperlink ref="F48" r:id="rId70" display="https://www.fxiaoke.com/crm/about-2/"/>
    <hyperlink ref="F49" r:id="rId23" display="https://www.hubspot.com/our-story"/>
    <hyperlink ref="F50" r:id="rId71" display="https://news.qq.com/rain/a/20260916A036KX00"/>
    <hyperlink ref="F51" r:id="rId72" display="https://www.canva.com/about/"/>
    <hyperlink ref="G51" r:id="rId73" display="https://www.canva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20" sqref="B20"/>
    </sheetView>
  </sheetViews>
  <sheetFormatPr defaultColWidth="9" defaultRowHeight="16.8" outlineLevelCol="1"/>
  <cols>
    <col min="1" max="1" width="42" customWidth="1"/>
    <col min="2" max="2" width="26" customWidth="1"/>
  </cols>
  <sheetData>
    <row r="1" spans="1:2">
      <c r="A1" s="1" t="s">
        <v>258</v>
      </c>
      <c r="B1" s="1" t="s">
        <v>259</v>
      </c>
    </row>
    <row r="2" spans="1:2">
      <c r="A2" t="s">
        <v>260</v>
      </c>
      <c r="B2">
        <f>COUNTIF('核对 Audit'!N2:N51,"正确")+COUNTIF('核对 Audit'!N2:N51,"错误")</f>
        <v>48</v>
      </c>
    </row>
    <row r="3" spans="1:2">
      <c r="A3" t="s">
        <v>261</v>
      </c>
      <c r="B3">
        <f>COUNTIF('核对 Audit'!N2:N51,"正确")</f>
        <v>33</v>
      </c>
    </row>
    <row r="4" spans="1:2">
      <c r="A4" t="s">
        <v>262</v>
      </c>
      <c r="B4">
        <f>COUNTIF('核对 Audit'!N2:N51,"错误")</f>
        <v>15</v>
      </c>
    </row>
    <row r="5" spans="1:2">
      <c r="A5" t="s">
        <v>263</v>
      </c>
      <c r="B5" s="2">
        <f>IF(B2=0,"",B3/B2)</f>
        <v>0.6875</v>
      </c>
    </row>
    <row r="6" spans="1:2">
      <c r="A6" t="s">
        <v>264</v>
      </c>
      <c r="B6" s="3">
        <v>0.9</v>
      </c>
    </row>
    <row r="7" spans="1:2">
      <c r="A7" t="s">
        <v>265</v>
      </c>
      <c r="B7" t="str">
        <f>IF(B2&lt;50,"未完成 incomplete",IF(B5&gt;=0.9,"达成 MET",IF(B5&lt;0.8,"证伪 FALSIFIED (F1)","未达成 MISSED")))</f>
        <v>未完成 incomplete</v>
      </c>
    </row>
    <row r="9" spans="1:2">
      <c r="A9" t="s">
        <v>266</v>
      </c>
      <c r="B9" s="2">
        <f>IFERROR(COUNTIFS('核对 Audit'!H2:H51,"官网*",'核对 Audit'!N2:N51,"正确")/(COUNTIFS('核对 Audit'!H2:H51,"官网*",'核对 Audit'!N2:N51,"正确")+COUNTIFS('核对 Audit'!H2:H51,"官网*",'核对 Audit'!N2:N51,"错误")),"")</f>
        <v>0.722222222222222</v>
      </c>
    </row>
    <row r="10" spans="1:2">
      <c r="A10" t="s">
        <v>267</v>
      </c>
      <c r="B10">
        <f>COUNTIF('核对 Audit'!J2:J51,"N")</f>
        <v>3</v>
      </c>
    </row>
    <row r="11" spans="1:2">
      <c r="A11" t="s">
        <v>268</v>
      </c>
      <c r="B11">
        <f>COUNTIF('核对 Audit'!K2:K51,"N")</f>
        <v>3</v>
      </c>
    </row>
    <row r="12" spans="1:2">
      <c r="A12" t="s">
        <v>269</v>
      </c>
      <c r="B12">
        <f>COUNTIF('核对 Audit'!L2:L51,"N")</f>
        <v>9</v>
      </c>
    </row>
    <row r="13" spans="1:2">
      <c r="A13" t="s">
        <v>270</v>
      </c>
      <c r="B13">
        <f>COUNTIF('核对 Audit'!M2:M51,"N")</f>
        <v>9</v>
      </c>
    </row>
    <row r="15" spans="1:2">
      <c r="A15" t="s">
        <v>271</v>
      </c>
      <c r="B15" s="4">
        <v>46321.8673611111</v>
      </c>
    </row>
    <row r="16" spans="1:2">
      <c r="A16" t="s">
        <v>272</v>
      </c>
      <c r="B16" s="4">
        <v>46321.9118055556</v>
      </c>
    </row>
    <row r="17" spans="1:2">
      <c r="A17" t="s">
        <v>273</v>
      </c>
      <c r="B17">
        <f>IF(OR(B15="",B16=""),"",ROUND((B16-B15)*1440,0))</f>
        <v>64</v>
      </c>
    </row>
    <row r="19" spans="1:2">
      <c r="A19" t="s">
        <v>274</v>
      </c>
    </row>
    <row r="20" spans="1:2">
      <c r="A20" t="s">
        <v>275</v>
      </c>
      <c r="B20" t="s">
        <v>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 How to</vt:lpstr>
      <vt:lpstr>核对 Audit</vt:lpstr>
      <vt:lpstr>汇总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yisa酱.</cp:lastModifiedBy>
  <dcterms:created xsi:type="dcterms:W3CDTF">2026-10-27T04:47:00Z</dcterms:created>
  <dcterms:modified xsi:type="dcterms:W3CDTF">2026-10-26T21:59:52Z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F3D09023D7829509F95BDF6A1443981A_42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