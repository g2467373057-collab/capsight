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 How to" sheetId="1" state="visible" r:id="rId1"/>
    <sheet xmlns:r="http://schemas.openxmlformats.org/officeDocument/2006/relationships" name="核对 Audit" sheetId="2" state="visible" r:id="rId2"/>
    <sheet xmlns:r="http://schemas.openxmlformats.org/officeDocument/2006/relationships" name="汇总 Summary" sheetId="3" state="visible" r:id="rId3"/>
  </sheets>
  <definedNames>
    <definedName name="_xlnm._FilterDatabase" localSheetId="1" hidden="1">'核对 Audit'!$A$1:$O$51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 hh:mm"/>
  </numFmts>
  <fonts count="5">
    <font>
      <name val="Calibri"/>
      <family val="2"/>
      <color theme="1"/>
      <sz val="11"/>
      <scheme val="minor"/>
    </font>
    <font>
      <b val="1"/>
      <sz val="14"/>
    </font>
    <font>
      <color rgb="000563C1"/>
      <u val="single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E5322D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4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165" fontId="0" fillId="3" borderId="0" pivotButton="0" quotePrefix="0" xfId="0"/>
  </cellXfs>
  <cellStyles count="1">
    <cellStyle name="Normal" xfId="0" builtinId="0" hidden="0"/>
  </cellStyles>
  <dxfs count="2">
    <dxf>
      <font>
        <b val="1"/>
        <color rgb="00C00000"/>
      </font>
    </dxf>
    <dxf>
      <font>
        <b val="1"/>
        <color rgb="001E7B34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himo.im/about" TargetMode="External" Id="rId1"/><Relationship Type="http://schemas.openxmlformats.org/officeDocument/2006/relationships/hyperlink" Target="https://shimo.im" TargetMode="External" Id="rId2"/><Relationship Type="http://schemas.openxmlformats.org/officeDocument/2006/relationships/hyperlink" Target="https://docs.qq.com" TargetMode="External" Id="rId3"/><Relationship Type="http://schemas.openxmlformats.org/officeDocument/2006/relationships/hyperlink" Target="https://www.cnpp.cn/pinpai/135822.html" TargetMode="External" Id="rId4"/><Relationship Type="http://schemas.openxmlformats.org/officeDocument/2006/relationships/hyperlink" Target="https://www.kaifain.com/b/ae4b294ae802d3b1" TargetMode="External" Id="rId5"/><Relationship Type="http://schemas.openxmlformats.org/officeDocument/2006/relationships/hyperlink" Target="https://shimo.im/about" TargetMode="External" Id="rId6"/><Relationship Type="http://schemas.openxmlformats.org/officeDocument/2006/relationships/hyperlink" Target="https://shimo.im/about" TargetMode="External" Id="rId7"/><Relationship Type="http://schemas.openxmlformats.org/officeDocument/2006/relationships/hyperlink" Target="https://www.kaifain.com/b/ae4b294ae802d3b1" TargetMode="External" Id="rId8"/><Relationship Type="http://schemas.openxmlformats.org/officeDocument/2006/relationships/hyperlink" Target="https://www.notion.com/pricing" TargetMode="External" Id="rId9"/><Relationship Type="http://schemas.openxmlformats.org/officeDocument/2006/relationships/hyperlink" Target="https://www.partnershare.cn/product/coda-coda/price" TargetMode="External" Id="rId10"/><Relationship Type="http://schemas.openxmlformats.org/officeDocument/2006/relationships/hyperlink" Target="https://clickup.com/pricing" TargetMode="External" Id="rId11"/><Relationship Type="http://schemas.openxmlformats.org/officeDocument/2006/relationships/hyperlink" Target="https://clickup.com/features/tasks" TargetMode="External" Id="rId12"/><Relationship Type="http://schemas.openxmlformats.org/officeDocument/2006/relationships/hyperlink" Target="https://clickup.com/features/tasks" TargetMode="External" Id="rId13"/><Relationship Type="http://schemas.openxmlformats.org/officeDocument/2006/relationships/hyperlink" Target="https://clickup.com/features/docs" TargetMode="External" Id="rId14"/><Relationship Type="http://schemas.openxmlformats.org/officeDocument/2006/relationships/hyperlink" Target="https://clickup.com" TargetMode="External" Id="rId15"/><Relationship Type="http://schemas.openxmlformats.org/officeDocument/2006/relationships/hyperlink" Target="https://clickup.com/about" TargetMode="External" Id="rId16"/><Relationship Type="http://schemas.openxmlformats.org/officeDocument/2006/relationships/hyperlink" Target="https://monday.com/pricing" TargetMode="External" Id="rId17"/><Relationship Type="http://schemas.openxmlformats.org/officeDocument/2006/relationships/hyperlink" Target="https://www.trello.com/pricing" TargetMode="External" Id="rId18"/><Relationship Type="http://schemas.openxmlformats.org/officeDocument/2006/relationships/hyperlink" Target="https://lifestack.ai/blog/trello-pricing" TargetMode="External" Id="rId19"/><Relationship Type="http://schemas.openxmlformats.org/officeDocument/2006/relationships/hyperlink" Target="https://www.salesforce.com/ap/?ir=1&amp;bc=DB" TargetMode="External" Id="rId20"/><Relationship Type="http://schemas.openxmlformats.org/officeDocument/2006/relationships/hyperlink" Target="https://www.salesforce.com/pricing/?bc=DB" TargetMode="External" Id="rId21"/><Relationship Type="http://schemas.openxmlformats.org/officeDocument/2006/relationships/hyperlink" Target="https://www.partnershare.cn/product/hubspot-sales-hub/price" TargetMode="External" Id="rId22"/><Relationship Type="http://schemas.openxmlformats.org/officeDocument/2006/relationships/hyperlink" Target="https://www.vendr.com/marketplace/hubspot" TargetMode="External" Id="rId23"/><Relationship Type="http://schemas.openxmlformats.org/officeDocument/2006/relationships/hyperlink" Target="https://www.fxiaoke.com/ap/market-price" TargetMode="External" Id="rId24"/><Relationship Type="http://schemas.openxmlformats.org/officeDocument/2006/relationships/hyperlink" Target="https://www.fxiaoke.com/" TargetMode="External" Id="rId25"/><Relationship Type="http://schemas.openxmlformats.org/officeDocument/2006/relationships/hyperlink" Target="https://www.fxiaoke.com/" TargetMode="External" Id="rId26"/><Relationship Type="http://schemas.openxmlformats.org/officeDocument/2006/relationships/hyperlink" Target="https://www.fxiaoke.com/ap/product-xs/" TargetMode="External" Id="rId27"/><Relationship Type="http://schemas.openxmlformats.org/officeDocument/2006/relationships/hyperlink" Target="https://www.hubspot.com/our-story" TargetMode="External" Id="rId28"/><Relationship Type="http://schemas.openxmlformats.org/officeDocument/2006/relationships/hyperlink" Target="https://careers.doodle.com/" TargetMode="External" Id="rId29"/><Relationship Type="http://schemas.openxmlformats.org/officeDocument/2006/relationships/hyperlink" Target="https://www.linkedin.com/company/doodle-ag" TargetMode="External" Id="rId30"/><Relationship Type="http://schemas.openxmlformats.org/officeDocument/2006/relationships/hyperlink" Target="https://www.coindesk.com/business/2022/09/13/nft-marketplace-doodles-raises-54m-at-704m-valuation" TargetMode="External" Id="rId31"/><Relationship Type="http://schemas.openxmlformats.org/officeDocument/2006/relationships/hyperlink" Target="https://multiples.vc/private-comps/doodles" TargetMode="External" Id="rId32"/><Relationship Type="http://schemas.openxmlformats.org/officeDocument/2006/relationships/hyperlink" Target="https://startupintros.com/orgs/hubspot" TargetMode="External" Id="rId33"/><Relationship Type="http://schemas.openxmlformats.org/officeDocument/2006/relationships/hyperlink" Target="https://cal.com/blog/seed" TargetMode="External" Id="rId34"/><Relationship Type="http://schemas.openxmlformats.org/officeDocument/2006/relationships/hyperlink" Target="https://startupintros.com/orgs/cal-com" TargetMode="External" Id="rId35"/><Relationship Type="http://schemas.openxmlformats.org/officeDocument/2006/relationships/hyperlink" Target="https://cal.com" TargetMode="External" Id="rId36"/><Relationship Type="http://schemas.openxmlformats.org/officeDocument/2006/relationships/hyperlink" Target="https://cal.com/about" TargetMode="External" Id="rId37"/><Relationship Type="http://schemas.openxmlformats.org/officeDocument/2006/relationships/hyperlink" Target="https://www.larksuite.com/en_sg/plans" TargetMode="External" Id="rId38"/><Relationship Type="http://schemas.openxmlformats.org/officeDocument/2006/relationships/hyperlink" Target="https://www.dingtalk.com/" TargetMode="External" Id="rId39"/><Relationship Type="http://schemas.openxmlformats.org/officeDocument/2006/relationships/hyperlink" Target="https://zoom.us/pricing" TargetMode="External" Id="rId40"/><Relationship Type="http://schemas.openxmlformats.org/officeDocument/2006/relationships/hyperlink" Target="https://workspace.google.com/pricing" TargetMode="External" Id="rId41"/><Relationship Type="http://schemas.openxmlformats.org/officeDocument/2006/relationships/hyperlink" Target="https://news.google.com/rss/articles/CBMia0FVX3lxTE52czFOS0owbEhHa21mc05wck9BSDVzT1JOalViZnRFcTJKY0lHNkgyX3liQk5SZVJuNV9sN2IzZmZjb1NaVUpYdVFmMUp0Z3o4TUR0Z2pDTFBqUTk3ZS1SRURIdV9XSkVmNFg0?oc=5" TargetMode="External" Id="rId42"/><Relationship Type="http://schemas.openxmlformats.org/officeDocument/2006/relationships/hyperlink" Target="https://news.google.com/rss/articles/CBMiakFVX3lxTFBmcUFFVGltR29GUU1qSzgta0k0MV95VGV2RmdwQ2ZZUGhSelVBTHBESklzM1ZKTEFPX21GUC1ob0MzVnBBenRSWTVBSzdQelVpankycklNRE1ER25ka1NnZE1nbnVTUl9UY0E?oc=5" TargetMode="External" Id="rId43"/><Relationship Type="http://schemas.openxmlformats.org/officeDocument/2006/relationships/hyperlink" Target="https://news.google.com/rss/articles/CBMiqwFBVV95cUxQNW1ldWxsaC1Lb2NPYkUyWndzSXpiZlNvZUpGVUZyQTdkcFVMbTl6dXFjRWZHRURzbjBFY2wtVVA3NEVLUWZmZmdlMkdxZm5mWlMyVFVBSmRKUmVOUVh3VERKLWVfQmlzX1FvWm1yanhabWN3SDJhbFF5cGhkb3kxMGxLeXBtVVRpNEVMckdTUGxEVTNzMFRUYmE0ZVRfeXJPb3c1aDlxNFJPSjQ?oc=5" TargetMode="External" Id="rId44"/><Relationship Type="http://schemas.openxmlformats.org/officeDocument/2006/relationships/hyperlink" Target="https://news.google.com/rss/articles/CBMiyAFBVV95cUxQZ0UtTGdQYVp2VllBaS1qQU9abXpxUFhJUmk5UEt5Q3NfeUcxRDZPSTl4c3JGSzhxV19Nc3luejNxM2luUXhEaUtQbkpVWnVERGFJaHQ5TDJrZmtOb1B1RWZPQjUxeHlZYThURWdFSHBUOGFueHRmSmI0REptamdsYXNuZ3JHS3VWSURUWktHT0I1TGw2Wl96OFVqdU02cGJEcFNLTE91dEp4YXUwSHdlWUdJb2NqTElyOFJGUW5aMEtDUGJHRFVTZQ?oc=5" TargetMode="External" Id="rId45"/><Relationship Type="http://schemas.openxmlformats.org/officeDocument/2006/relationships/hyperlink" Target="https://news.google.com/rss/articles/CBMiYkFVX3lxTE56VGoxN1dUZkpZWEtTeGhQRzd6WlFqS2pwVTFDVHpkSW5aX2hVVktMVWhaNjlmU0xoUVU0d0ZWM2dyeGVFOVZJeUNRZFFUQURlazBOT1ZFMldTNG52ZjNCd19B?oc=5" TargetMode="External" Id="rId46"/><Relationship Type="http://schemas.openxmlformats.org/officeDocument/2006/relationships/hyperlink" Target="https://news.google.com/rss/articles/CBMiwgFBVV95cUxPTGxuMVdQOUlvclJfTzU2dE14Qm51S1NMZWZXOXhHeGdxck8zSEtxaDFLYzlOajJ5ZDRWQ3RsVzNEaGxhQUtuZmlpZmxhVFp6SkNiendPWm1XeGM1cHIxZXV2Y0FBeFVEU3BPNTYwN3pXQkp2QlE4akRWR21FOUJhVS1wUDNURmNCU2I0dVBPNXVhMnJneGZWTGJmSzlPOU55NkgxazVoY2JmeXdrLTJOV0RkOGtTdDdoVnJra0ZsNXRCQQ?oc=5" TargetMode="External" Id="rId47"/><Relationship Type="http://schemas.openxmlformats.org/officeDocument/2006/relationships/hyperlink" Target="https://www.helpscout.com/company/careers/" TargetMode="External" Id="rId48"/><Relationship Type="http://schemas.openxmlformats.org/officeDocument/2006/relationships/hyperlink" Target="https://www.helpscout.com/about/" TargetMode="External" Id="rId49"/><Relationship Type="http://schemas.openxmlformats.org/officeDocument/2006/relationships/hyperlink" Target="https://www.helpscout.com" TargetMode="External" Id="rId50"/><Relationship Type="http://schemas.openxmlformats.org/officeDocument/2006/relationships/hyperlink" Target="https://www.freshworks.com/freshdesk/" TargetMode="External" Id="rId51"/><Relationship Type="http://schemas.openxmlformats.org/officeDocument/2006/relationships/hyperlink" Target="https://www.freshworks.com/company/about/" TargetMode="External" Id="rId52"/><Relationship Type="http://schemas.openxmlformats.org/officeDocument/2006/relationships/hyperlink" Target="https://www.zendesk.com/sg/company/" TargetMode="External" Id="rId53"/><Relationship Type="http://schemas.openxmlformats.org/officeDocument/2006/relationships/hyperlink" Target="https://www.zendesk.com/sg/company/agreements-and-terms/privacy-notice/" TargetMode="External" Id="rId54"/><Relationship Type="http://schemas.openxmlformats.org/officeDocument/2006/relationships/hyperlink" Target="https://www.helpscout.com/company/legal/terms-of-service/" TargetMode="External" Id="rId55"/><Relationship Type="http://schemas.openxmlformats.org/officeDocument/2006/relationships/hyperlink" Target="https://www.helpscout.com/about/" TargetMode="External" Id="rId56"/><Relationship Type="http://schemas.openxmlformats.org/officeDocument/2006/relationships/hyperlink" Target="https://www.figma.com/pricing/" TargetMode="External" Id="rId57"/><Relationship Type="http://schemas.openxmlformats.org/officeDocument/2006/relationships/hyperlink" Target="https://www.canva.com/pricing/" TargetMode="External" Id="rId58"/><Relationship Type="http://schemas.openxmlformats.org/officeDocument/2006/relationships/hyperlink" Target="https://www.canva.com/help/subscription-options/" TargetMode="External" Id="rId59"/><Relationship Type="http://schemas.openxmlformats.org/officeDocument/2006/relationships/hyperlink" Target="https://www.sketch.com/license/" TargetMode="External" Id="rId60"/><Relationship Type="http://schemas.openxmlformats.org/officeDocument/2006/relationships/hyperlink" Target="https://www.sketch.com/pricing/" TargetMode="External" Id="rId61"/><Relationship Type="http://schemas.openxmlformats.org/officeDocument/2006/relationships/hyperlink" Target="https://www.sketch.com" TargetMode="External" Id="rId62"/><Relationship Type="http://schemas.openxmlformats.org/officeDocument/2006/relationships/hyperlink" Target="https://www.sketch.com/about-us/" TargetMode="External" Id="rId63"/><Relationship Type="http://schemas.openxmlformats.org/officeDocument/2006/relationships/hyperlink" Target="https://news.google.com/rss/articles/CBMikwFBVV95cUxQR05XNUt3S2l1QkotOUJTMG1HZlpaeWFTXzFFbXZHOFpIa25pODdkTXdvd2VTS2tZb1pKY05ieHB6YUtPLW5DNUpPTzlPc3BDd0dFY3VDSVc3U05VcEV2LVAxVjNfaF9aZGk3bEVCVTlxQ0ZFUExzMWxjUHFTcVpPa1BseW5rdFl1dmN6REd2TkxVWjA?oc=5" TargetMode="External" Id="rId64"/><Relationship Type="http://schemas.openxmlformats.org/officeDocument/2006/relationships/hyperlink" Target="https://news.google.com/rss/articles/CBMiigFBVV95cUxNd21jWkQ5TzJTSGZRdl9YQVBqMWNLR3JRME9XX0JiZUJ4OXRFbjZSeWZ3NTlrT3VPLWhQeElXbzJueHAzU1hhUlB6LXFWQ1MyQXFPcUJ1ZU9Vd0ZjbkFmWjY4Y05JOU9KNGk4d3FIVTA5aFhUeHJueG5RVnhwNjgwcUpMQzBiUUc2OEE?oc=5" TargetMode="External" Id="rId65"/><Relationship Type="http://schemas.openxmlformats.org/officeDocument/2006/relationships/hyperlink" Target="https://linear.app/pricing" TargetMode="External" Id="rId66"/><Relationship Type="http://schemas.openxmlformats.org/officeDocument/2006/relationships/hyperlink" Target="https://linear.app/contact/sales" TargetMode="External" Id="rId67"/><Relationship Type="http://schemas.openxmlformats.org/officeDocument/2006/relationships/hyperlink" Target="https://linear.app/contact" TargetMode="External" Id="rId68"/><Relationship Type="http://schemas.openxmlformats.org/officeDocument/2006/relationships/hyperlink" Target="https://coda.io" TargetMode="External" Id="rId69"/><Relationship Type="http://schemas.openxmlformats.org/officeDocument/2006/relationships/hyperlink" Target="https://coda.io/product" TargetMode="External" Id="rId70"/><Relationship Type="http://schemas.openxmlformats.org/officeDocument/2006/relationships/hyperlink" Target="https://help.doodle.com/en/articles/9457354-who-develops-and-operates-doodle" TargetMode="External" Id="rId71"/><Relationship Type="http://schemas.openxmlformats.org/officeDocument/2006/relationships/hyperlink" Target="https://doodle.com/en/website-imprint/" TargetMode="External" Id="rId72"/><Relationship Type="http://schemas.openxmlformats.org/officeDocument/2006/relationships/hyperlink" Target="https://www.canva.com/pricing/" TargetMode="External" Id="rId73"/><Relationship Type="http://schemas.openxmlformats.org/officeDocument/2006/relationships/hyperlink" Target="https://www.canva.com/features/" TargetMode="External" Id="rId74"/><Relationship Type="http://schemas.openxmlformats.org/officeDocument/2006/relationships/hyperlink" Target="https://news.google.com/rss/articles/CBMiqAFBVV95cUxOb3ZuaWwzQlZKUEF6eEdZeEticm9PMG1WdWZGVEI4eWRoaEt4aFhHRGloLVJSdzlzeTJzSlY0SlBnR0czbnN2c05yUFBUVF9QaUR1MEtMNlhacmVYbGIzQm5maEVHY21zOGo0cGp2bGszbUlnSnZ1UzI5bXN4clNEaUFBcVU0NXRIZW5KVTBJTVdJVGxnMTkzcE5FeTV0Y3BFNGtUdmtTdV8?oc=5" TargetMode="External" Id="rId75"/><Relationship Type="http://schemas.openxmlformats.org/officeDocument/2006/relationships/hyperlink" Target="https://news.google.com/rss/articles/CBMitwFBVV95cUxOeVl3TUpFMUJ3Qmd5RmRRLUtienRuSEJia1dtd24wVm5iMHFhbUQ0aFFRUk56cWVJQ01PZmJPVVZBN3JHVGpFTXVNX1ozNElOSGY3MFZ3WTJJYXEwZmIyc21NVjlKRFZRU3hHVTBxNVg5WGpxdmZJcm56cDAtdm1ob0llbmV0VllnNFdlbkcxTTJVUldIYTR6bXp0WHNteW93X0tyT1N4LUtEOGpORlU1eWRDZndJS2M?oc=5" TargetMode="External" Id="rId76"/><Relationship Type="http://schemas.openxmlformats.org/officeDocument/2006/relationships/hyperlink" Target="https://www.fxiaoke.com/crm/about-2/" TargetMode="External" Id="rId77"/><Relationship Type="http://schemas.openxmlformats.org/officeDocument/2006/relationships/hyperlink" Target="https://www.hubspot.com/our-story" TargetMode="External" Id="rId78"/><Relationship Type="http://schemas.openxmlformats.org/officeDocument/2006/relationships/hyperlink" Target="https://news.qq.com/rain/a/20260916A036KX00" TargetMode="External" Id="rId79"/><Relationship Type="http://schemas.openxmlformats.org/officeDocument/2006/relationships/hyperlink" Target="https://www.canva.com/about/" TargetMode="External" Id="rId80"/><Relationship Type="http://schemas.openxmlformats.org/officeDocument/2006/relationships/hyperlink" Target="https://www.canva.com/" TargetMode="External" Id="rId8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Batch B 人工核对表 · Harper audit sheet (measure 1)</t>
        </is>
      </c>
    </row>
    <row r="2">
      <c r="A2" t="inlineStr"/>
    </row>
    <row r="3">
      <c r="A3" t="inlineStr">
        <is>
          <t>抽样：Batch B（v2.3，2026-10-25）保留下来的 80 条事实里抽了 50 条（每题约 5 条，定价和重查过的全部纳入；随机种子 20261026，可复现）。</t>
        </is>
      </c>
    </row>
    <row r="4">
      <c r="A4" t="inlineStr"/>
    </row>
    <row r="5">
      <c r="A5" t="inlineStr">
        <is>
          <t>每一行做四项检查，在 J–M 列选 Y 或 N：</t>
        </is>
      </c>
    </row>
    <row r="6">
      <c r="A6" t="inlineStr">
        <is>
          <t xml:space="preserve">  J 链接能打开 Link opens：点 F/G 列的链接，页面能打开（不是 404、不是要登录）。</t>
        </is>
      </c>
    </row>
    <row r="7">
      <c r="A7" t="inlineStr">
        <is>
          <t xml:space="preserve">  K 原文在页面上 Text on page：在页面里能找到支持这个值的文字（Cmd+F 搜关键词）。</t>
        </is>
      </c>
    </row>
    <row r="8">
      <c r="A8" t="inlineStr">
        <is>
          <t xml:space="preserve">  L 来源可信且标注正确 Source credible &amp; labelled：官网就该是该公司自己的域名；第三方/新闻/搜索收录要是可信来源，且 H 列标注没标错（比如不是第三方却标成官网）。</t>
        </is>
      </c>
    </row>
    <row r="9">
      <c r="A9" t="inlineStr">
        <is>
          <t xml:space="preserve">  M 数值一致 Value matches：E 列的值和页面上写的一致（价格、人数、日期等）。</t>
        </is>
      </c>
    </row>
    <row r="10">
      <c r="A10" t="inlineStr">
        <is>
          <t>N 列自动计算：四项都是 Y 才算正确。拿不准写在 O 列备注。</t>
        </is>
      </c>
    </row>
    <row r="11">
      <c r="A11" t="inlineStr"/>
    </row>
    <row r="12">
      <c r="A12" t="inlineStr">
        <is>
          <t>定价那几行内容较多：抽查主要价格（套餐和单价）+ 任意一个子项即可，有一项错就算 N，并在备注写哪项错。</t>
        </is>
      </c>
    </row>
    <row r="13">
      <c r="A13" t="inlineStr"/>
    </row>
    <row r="14">
      <c r="A14" t="inlineStr">
        <is>
          <t>开始和结束时间请填在「汇总 Summary」页（用于指标 4：核对用时）。</t>
        </is>
      </c>
    </row>
    <row r="15">
      <c r="A15" t="inlineStr">
        <is>
          <t>门槛：≥90% 正确为达成；&lt;80% 为证伪（F1）。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" customWidth="1" min="2" max="2"/>
    <col width="28" customWidth="1" min="3" max="3"/>
    <col width="14" customWidth="1" min="4" max="4"/>
    <col width="60" customWidth="1" min="5" max="5"/>
    <col width="32" customWidth="1" min="6" max="6"/>
    <col width="32" customWidth="1" min="7" max="7"/>
    <col width="18" customWidth="1" min="8" max="8"/>
    <col width="14" customWidth="1" min="9" max="9"/>
    <col width="11" customWidth="1" min="10" max="10"/>
    <col width="11" customWidth="1" min="11" max="11"/>
    <col width="14" customWidth="1" min="12" max="12"/>
    <col width="11" customWidth="1" min="13" max="13"/>
    <col width="10" customWidth="1" min="14" max="14"/>
    <col width="30" customWidth="1" min="15" max="15"/>
  </cols>
  <sheetData>
    <row r="1" ht="36" customHeight="1">
      <c r="A1" s="2" t="inlineStr">
        <is>
          <t>#</t>
        </is>
      </c>
      <c r="B1" s="2" t="inlineStr">
        <is>
          <t>题号 Q</t>
        </is>
      </c>
      <c r="C1" s="2" t="inlineStr">
        <is>
          <t>问题 Question</t>
        </is>
      </c>
      <c r="D1" s="2" t="inlineStr">
        <is>
          <t>公司 Company</t>
        </is>
      </c>
      <c r="E1" s="2" t="inlineStr">
        <is>
          <t>字段 Field + 系统给出的值 Value</t>
        </is>
      </c>
      <c r="F1" s="2" t="inlineStr">
        <is>
          <t>来源 1 Source 1</t>
        </is>
      </c>
      <c r="G1" s="2" t="inlineStr">
        <is>
          <t>来源 2 Source 2</t>
        </is>
      </c>
      <c r="H1" s="2" t="inlineStr">
        <is>
          <t>来源标注 Label shown</t>
        </is>
      </c>
      <c r="I1" s="2" t="inlineStr">
        <is>
          <t>状态 Status</t>
        </is>
      </c>
      <c r="J1" s="2" t="inlineStr">
        <is>
          <t>J 链接能打开 (Y/N)</t>
        </is>
      </c>
      <c r="K1" s="2" t="inlineStr">
        <is>
          <t>K 原文在页面 (Y/N)</t>
        </is>
      </c>
      <c r="L1" s="2" t="inlineStr">
        <is>
          <t>L 来源可信且标注正确 (Y/N)</t>
        </is>
      </c>
      <c r="M1" s="2" t="inlineStr">
        <is>
          <t>M 数值一致 (Y/N)</t>
        </is>
      </c>
      <c r="N1" s="2" t="inlineStr">
        <is>
          <t>N 正确? Correct</t>
        </is>
      </c>
      <c r="O1" s="2" t="inlineStr">
        <is>
          <t>O 备注 Notes</t>
        </is>
      </c>
    </row>
    <row r="2">
      <c r="A2" s="3" t="n">
        <v>1</v>
      </c>
      <c r="B2" s="3" t="inlineStr">
        <is>
          <t>Q01</t>
        </is>
      </c>
      <c r="C2" s="3" t="inlineStr">
        <is>
          <t>我们是做在线协作文档的，帮我找竞品</t>
        </is>
      </c>
      <c r="D2" s="3" t="inlineStr">
        <is>
          <t>石墨文档</t>
        </is>
      </c>
      <c r="E2" s="3" t="inlineStr">
        <is>
          <t>[overview]
武汉初心科技旗下在线协同文档品牌，提供文档、表格、幻灯片等云端Office套件，面向个人与企业团队</t>
        </is>
      </c>
      <c r="F2" s="4" t="inlineStr">
        <is>
          <t>https://shimo.im/about</t>
        </is>
      </c>
      <c r="G2" s="4" t="inlineStr">
        <is>
          <t>https://shimo.im</t>
        </is>
      </c>
      <c r="H2" s="3" t="inlineStr">
        <is>
          <t>官网 official / 官网 official</t>
        </is>
      </c>
      <c r="I2" s="3" t="inlineStr">
        <is>
          <t>通过 verified</t>
        </is>
      </c>
      <c r="J2" s="5" t="n"/>
      <c r="K2" s="5" t="n"/>
      <c r="L2" s="5" t="n"/>
      <c r="M2" s="5" t="n"/>
      <c r="N2" s="3">
        <f>IF(COUNTA(J2:M2)&lt;4,"",IF(COUNTIF(J2:M2,"Y")=4,"正确","错误"))</f>
        <v/>
      </c>
      <c r="O2" s="3" t="n"/>
    </row>
    <row r="3">
      <c r="A3" s="3" t="n">
        <v>2</v>
      </c>
      <c r="B3" s="3" t="inlineStr">
        <is>
          <t>Q01</t>
        </is>
      </c>
      <c r="C3" s="3" t="inlineStr">
        <is>
          <t>我们是做在线协作文档的，帮我找竞品</t>
        </is>
      </c>
      <c r="D3" s="3" t="inlineStr">
        <is>
          <t>腾讯文档</t>
        </is>
      </c>
      <c r="E3" s="3" t="inlineStr">
        <is>
          <t>[overview]
腾讯旗下多人协作在线文档平台，支持Word、Excel、PPT、PDF、收集表、思维导图等在线编辑与云端保存，面向个人和企业团队</t>
        </is>
      </c>
      <c r="F3" s="4" t="inlineStr">
        <is>
          <t>https://docs.qq.com</t>
        </is>
      </c>
      <c r="G3" s="4" t="inlineStr">
        <is>
          <t>https://www.cnpp.cn/pinpai/135822.html</t>
        </is>
      </c>
      <c r="H3" s="3" t="inlineStr">
        <is>
          <t>官网 official / 搜索收录 search</t>
        </is>
      </c>
      <c r="I3" s="3" t="inlineStr">
        <is>
          <t>通过 verified</t>
        </is>
      </c>
      <c r="J3" s="5" t="n"/>
      <c r="K3" s="5" t="n"/>
      <c r="L3" s="5" t="n"/>
      <c r="M3" s="5" t="n"/>
      <c r="N3" s="3">
        <f>IF(COUNTA(J3:M3)&lt;4,"",IF(COUNTIF(J3:M3,"Y")=4,"正确","错误"))</f>
        <v/>
      </c>
      <c r="O3" s="3" t="n"/>
    </row>
    <row r="4">
      <c r="A4" s="3" t="n">
        <v>3</v>
      </c>
      <c r="B4" s="3" t="inlineStr">
        <is>
          <t>Q01</t>
        </is>
      </c>
      <c r="C4" s="3" t="inlineStr">
        <is>
          <t>我们是做在线协作文档的，帮我找竞品</t>
        </is>
      </c>
      <c r="D4" s="3" t="inlineStr">
        <is>
          <t>石墨文档</t>
        </is>
      </c>
      <c r="E4" s="3" t="inlineStr">
        <is>
          <t>[size]
100–499 人（开发屋，2023 年）</t>
        </is>
      </c>
      <c r="F4" s="4" t="inlineStr">
        <is>
          <t>https://www.kaifain.com/b/ae4b294ae802d3b1</t>
        </is>
      </c>
      <c r="G4" s="3" t="inlineStr"/>
      <c r="H4" s="3" t="inlineStr">
        <is>
          <t>搜索收录 search</t>
        </is>
      </c>
      <c r="I4" s="3" t="inlineStr">
        <is>
          <t>通过 verified</t>
        </is>
      </c>
      <c r="J4" s="5" t="n"/>
      <c r="K4" s="5" t="n"/>
      <c r="L4" s="5" t="n"/>
      <c r="M4" s="5" t="n"/>
      <c r="N4" s="3">
        <f>IF(COUNTA(J4:M4)&lt;4,"",IF(COUNTIF(J4:M4,"Y")=4,"正确","错误"))</f>
        <v/>
      </c>
      <c r="O4" s="3" t="n"/>
    </row>
    <row r="5">
      <c r="A5" s="3" t="n">
        <v>4</v>
      </c>
      <c r="B5" s="3" t="inlineStr">
        <is>
          <t>Q01</t>
        </is>
      </c>
      <c r="C5" s="3" t="inlineStr">
        <is>
          <t>我们是做在线协作文档的，帮我找竞品</t>
        </is>
      </c>
      <c r="D5" s="3" t="inlineStr">
        <is>
          <t>石墨文档</t>
        </is>
      </c>
      <c r="E5" s="3" t="inlineStr">
        <is>
          <t>[region]
中国 · 武汉，在北京、上海、武汉、深圳设有分支机构和服务中心</t>
        </is>
      </c>
      <c r="F5" s="4" t="inlineStr">
        <is>
          <t>https://shimo.im/about</t>
        </is>
      </c>
      <c r="G5" s="3" t="inlineStr"/>
      <c r="H5" s="3" t="inlineStr">
        <is>
          <t>官网 official</t>
        </is>
      </c>
      <c r="I5" s="3" t="inlineStr">
        <is>
          <t>通过 verified</t>
        </is>
      </c>
      <c r="J5" s="5" t="n"/>
      <c r="K5" s="5" t="n"/>
      <c r="L5" s="5" t="n"/>
      <c r="M5" s="5" t="n"/>
      <c r="N5" s="3">
        <f>IF(COUNTA(J5:M5)&lt;4,"",IF(COUNTIF(J5:M5,"Y")=4,"正确","错误"))</f>
        <v/>
      </c>
      <c r="O5" s="3" t="n"/>
    </row>
    <row r="6">
      <c r="A6" s="3" t="n">
        <v>5</v>
      </c>
      <c r="B6" s="3" t="inlineStr">
        <is>
          <t>Q01</t>
        </is>
      </c>
      <c r="C6" s="3" t="inlineStr">
        <is>
          <t>我们是做在线协作文档的，帮我找竞品</t>
        </is>
      </c>
      <c r="D6" s="3" t="inlineStr">
        <is>
          <t>石墨文档</t>
        </is>
      </c>
      <c r="E6" s="3" t="inlineStr">
        <is>
          <t>[funding]
2017 年获今日头条近亿元 B 轮投资；开发屋标注融资阶段为 B++ 轮（2023 年）</t>
        </is>
      </c>
      <c r="F6" s="4" t="inlineStr">
        <is>
          <t>https://shimo.im/about</t>
        </is>
      </c>
      <c r="G6" s="4" t="inlineStr">
        <is>
          <t>https://www.kaifain.com/b/ae4b294ae802d3b1</t>
        </is>
      </c>
      <c r="H6" s="3" t="inlineStr">
        <is>
          <t>官网 official / 搜索收录 search</t>
        </is>
      </c>
      <c r="I6" s="3" t="inlineStr">
        <is>
          <t>通过 verified</t>
        </is>
      </c>
      <c r="J6" s="5" t="n"/>
      <c r="K6" s="5" t="n"/>
      <c r="L6" s="5" t="n"/>
      <c r="M6" s="5" t="n"/>
      <c r="N6" s="3">
        <f>IF(COUNTA(J6:M6)&lt;4,"",IF(COUNTIF(J6:M6,"Y")=4,"正确","错误"))</f>
        <v/>
      </c>
      <c r="O6" s="3" t="n"/>
    </row>
    <row r="7">
      <c r="A7" s="3" t="n">
        <v>6</v>
      </c>
      <c r="B7" s="3" t="inlineStr">
        <is>
          <t>Q02</t>
        </is>
      </c>
      <c r="C7" s="3" t="inlineStr">
        <is>
          <t>查一下 Notion、Coda、ClickUp 的基本信息</t>
        </is>
      </c>
      <c r="D7" s="3" t="inlineStr">
        <is>
          <t>Notion</t>
        </is>
      </c>
      <c r="E7" s="3" t="inlineStr">
        <is>
          <t>[pricing]
Free $0 / Plus $10 / Business $20（均每成员每月）/ Enterprise 定制价格
计价单位: 按成员（席位）每月计费
计费方式: 可选按月或按年付款，年付最多省 20%，价格以美元计
附加成本: Custom Agents 免费试用，之后每 1,000 个月度 Notion credits 收费 $10
免费策略: Free 计划 $0，个人页面与块不限量，2 人以上团队受限，单文件上传上限 5MB，页面历史 7 天
当前优惠: 年付相比月付最多可节省 20%</t>
        </is>
      </c>
      <c r="F7" s="4" t="inlineStr">
        <is>
          <t>https://www.notion.com/pricing</t>
        </is>
      </c>
      <c r="G7" s="3" t="inlineStr"/>
      <c r="H7" s="3" t="inlineStr">
        <is>
          <t>官网 official</t>
        </is>
      </c>
      <c r="I7" s="3" t="inlineStr">
        <is>
          <t>通过 verified</t>
        </is>
      </c>
      <c r="J7" s="5" t="n"/>
      <c r="K7" s="5" t="n"/>
      <c r="L7" s="5" t="n"/>
      <c r="M7" s="5" t="n"/>
      <c r="N7" s="3">
        <f>IF(COUNTA(J7:M7)&lt;4,"",IF(COUNTIF(J7:M7,"Y")=4,"正确","错误"))</f>
        <v/>
      </c>
      <c r="O7" s="3" t="n"/>
    </row>
    <row r="8">
      <c r="A8" s="3" t="n">
        <v>7</v>
      </c>
      <c r="B8" s="3" t="inlineStr">
        <is>
          <t>Q02</t>
        </is>
      </c>
      <c r="C8" s="3" t="inlineStr">
        <is>
          <t>查一下 Notion、Coda、ClickUp 的基本信息</t>
        </is>
      </c>
      <c r="D8" s="3" t="inlineStr">
        <is>
          <t>Coda</t>
        </is>
      </c>
      <c r="E8" s="3" t="inlineStr">
        <is>
          <t>[pricing]
自由 $0/文档制作者/月；专业版 $12/月（年付 $10）；团队 $36/月（年付 $30）；企业 定制
计价单位: 按每个 Doc Maker（文档制作者）每月计费，查看者不限
计费方式: 分月付与年付，年付更便宜：专业版 $10、团队 $30（美元）
免费策略: 自由计划 $0：无限编辑者与查看者，文档行数/对象有限，自动化每月35次、7天历史</t>
        </is>
      </c>
      <c r="F8" s="4" t="inlineStr">
        <is>
          <t>https://www.partnershare.cn/product/coda-coda/price</t>
        </is>
      </c>
      <c r="G8" s="3" t="inlineStr"/>
      <c r="H8" s="3" t="inlineStr">
        <is>
          <t>官网 official</t>
        </is>
      </c>
      <c r="I8" s="3" t="inlineStr">
        <is>
          <t>重查后通过 re-queried</t>
        </is>
      </c>
      <c r="J8" s="5" t="n"/>
      <c r="K8" s="5" t="n"/>
      <c r="L8" s="5" t="n"/>
      <c r="M8" s="5" t="n"/>
      <c r="N8" s="3">
        <f>IF(COUNTA(J8:M8)&lt;4,"",IF(COUNTIF(J8:M8,"Y")=4,"正确","错误"))</f>
        <v/>
      </c>
      <c r="O8" s="3" t="n"/>
    </row>
    <row r="9">
      <c r="A9" s="3" t="n">
        <v>8</v>
      </c>
      <c r="B9" s="3" t="inlineStr">
        <is>
          <t>Q02</t>
        </is>
      </c>
      <c r="C9" s="3" t="inlineStr">
        <is>
          <t>查一下 Notion、Coda、ClickUp 的基本信息</t>
        </is>
      </c>
      <c r="D9" s="3" t="inlineStr">
        <is>
          <t>ClickUp</t>
        </is>
      </c>
      <c r="E9" s="3" t="inlineStr">
        <is>
          <t>[pricing]
Free Forever 免费 / Unlimited $7 每用户每月（年付）/ Business $12 每用户每月（年付）/ Enterprise 联系销售定制
计价单位: 按每用户每月计价，未注明最低席位数
计费方式: 价格分月付与年付，年付最高省33%；Unlimited 年付$7、月付$10，Business 年付$12、月付$19
附加成本: Business 含每月5K自动化（价值$100），Enterprise 含250K自动化（价值$750）；另有独立AI定价
免费策略: Free Forever 免费计划：任务和用户不限量，含白板但有限额，无需信用卡
当前优惠: 年付最高可省33%，AI 年付最高省20%</t>
        </is>
      </c>
      <c r="F9" s="4" t="inlineStr">
        <is>
          <t>https://clickup.com/pricing</t>
        </is>
      </c>
      <c r="G9" s="4" t="inlineStr">
        <is>
          <t>https://clickup.com/features/tasks</t>
        </is>
      </c>
      <c r="H9" s="3" t="inlineStr">
        <is>
          <t>官网 official / 官网 official</t>
        </is>
      </c>
      <c r="I9" s="3" t="inlineStr">
        <is>
          <t>重查后通过 re-queried</t>
        </is>
      </c>
      <c r="J9" s="5" t="n"/>
      <c r="K9" s="5" t="n"/>
      <c r="L9" s="5" t="n"/>
      <c r="M9" s="5" t="n"/>
      <c r="N9" s="3">
        <f>IF(COUNTA(J9:M9)&lt;4,"",IF(COUNTIF(J9:M9,"Y")=4,"正确","错误"))</f>
        <v/>
      </c>
      <c r="O9" s="3" t="n"/>
    </row>
    <row r="10">
      <c r="A10" s="3" t="n">
        <v>9</v>
      </c>
      <c r="B10" s="3" t="inlineStr">
        <is>
          <t>Q02</t>
        </is>
      </c>
      <c r="C10" s="3" t="inlineStr">
        <is>
          <t>查一下 Notion、Coda、ClickUp 的基本信息</t>
        </is>
      </c>
      <c r="D10" s="3" t="inlineStr">
        <is>
          <t>ClickUp</t>
        </is>
      </c>
      <c r="E10" s="3" t="inlineStr">
        <is>
          <t>[features]
任务管理、文档与Wiki、白板流程图、内置时间追踪与工时审批、AI Brain与Super Agents</t>
        </is>
      </c>
      <c r="F10" s="4" t="inlineStr">
        <is>
          <t>https://clickup.com/features/tasks</t>
        </is>
      </c>
      <c r="G10" s="4" t="inlineStr">
        <is>
          <t>https://clickup.com/features/docs</t>
        </is>
      </c>
      <c r="H10" s="3" t="inlineStr">
        <is>
          <t>官网 official / 官网 official</t>
        </is>
      </c>
      <c r="I10" s="3" t="inlineStr">
        <is>
          <t>通过 verified</t>
        </is>
      </c>
      <c r="J10" s="5" t="n"/>
      <c r="K10" s="5" t="n"/>
      <c r="L10" s="5" t="n"/>
      <c r="M10" s="5" t="n"/>
      <c r="N10" s="3">
        <f>IF(COUNTA(J10:M10)&lt;4,"",IF(COUNTIF(J10:M10,"Y")=4,"正确","错误"))</f>
        <v/>
      </c>
      <c r="O10" s="3" t="n"/>
    </row>
    <row r="11">
      <c r="A11" s="3" t="n">
        <v>10</v>
      </c>
      <c r="B11" s="3" t="inlineStr">
        <is>
          <t>Q02</t>
        </is>
      </c>
      <c r="C11" s="3" t="inlineStr">
        <is>
          <t>查一下 Notion、Coda、ClickUp 的基本信息</t>
        </is>
      </c>
      <c r="D11" s="3" t="inlineStr">
        <is>
          <t>ClickUp</t>
        </is>
      </c>
      <c r="E11" s="3" t="inlineStr">
        <is>
          <t>[overview]
一体化工作协作平台，整合任务、文档、目标、聊天与AI，面向全球团队替代多个分散工具</t>
        </is>
      </c>
      <c r="F11" s="4" t="inlineStr">
        <is>
          <t>https://clickup.com</t>
        </is>
      </c>
      <c r="G11" s="4" t="inlineStr">
        <is>
          <t>https://clickup.com/about</t>
        </is>
      </c>
      <c r="H11" s="3" t="inlineStr">
        <is>
          <t>官网 official / 官网 official</t>
        </is>
      </c>
      <c r="I11" s="3" t="inlineStr">
        <is>
          <t>通过 verified</t>
        </is>
      </c>
      <c r="J11" s="5" t="n"/>
      <c r="K11" s="5" t="n"/>
      <c r="L11" s="5" t="n"/>
      <c r="M11" s="5" t="n"/>
      <c r="N11" s="3">
        <f>IF(COUNTA(J11:M11)&lt;4,"",IF(COUNTIF(J11:M11,"Y")=4,"正确","错误"))</f>
        <v/>
      </c>
      <c r="O11" s="3" t="n"/>
    </row>
    <row r="12">
      <c r="A12" s="3" t="n">
        <v>11</v>
      </c>
      <c r="B12" s="3" t="inlineStr">
        <is>
          <t>Q03</t>
        </is>
      </c>
      <c r="C12" s="3" t="inlineStr">
        <is>
          <t>Compare Asana, Monday.com and Trello pricing</t>
        </is>
      </c>
      <c r="D12" s="3" t="inlineStr">
        <is>
          <t>Monday.com</t>
        </is>
      </c>
      <c r="E12" s="3" t="inlineStr">
        <is>
          <t>[pricing]
Free $0 / Basic $9 / Standard $12 / Pro $19 per seat per month / Enterprise custom price
Pricing unit: Per seat per month; pricing page example uses 10 seats (e.g. $9 x 10 seats = $90)
Billing: Prices shown billed annually (Yearly SAVE 18%); monthly billing option available
Extra costs: AI credits beyond plan allowance: 1,000 credits = $10, 2,000 = $20, 3,000 = $30; extra API calls purchasable
Free tier &amp; trial: Free forever plan: up to 2 seats, up to 3 boards, up to 3 Docs, 200+ templates, 8 column types; no credit card needed
Current offer: Special offer: $10 off/month on Basic, $20 off/month on Standard, $30 off/month on Pro</t>
        </is>
      </c>
      <c r="F12" s="4" t="inlineStr">
        <is>
          <t>https://monday.com/pricing</t>
        </is>
      </c>
      <c r="G12" s="3" t="inlineStr"/>
      <c r="H12" s="3" t="inlineStr">
        <is>
          <t>官网 official</t>
        </is>
      </c>
      <c r="I12" s="3" t="inlineStr">
        <is>
          <t>通过 verified</t>
        </is>
      </c>
      <c r="J12" s="5" t="n"/>
      <c r="K12" s="5" t="n"/>
      <c r="L12" s="5" t="n"/>
      <c r="M12" s="5" t="n"/>
      <c r="N12" s="3">
        <f>IF(COUNTA(J12:M12)&lt;4,"",IF(COUNTIF(J12:M12,"Y")=4,"正确","错误"))</f>
        <v/>
      </c>
      <c r="O12" s="3" t="n"/>
    </row>
    <row r="13">
      <c r="A13" s="3" t="n">
        <v>12</v>
      </c>
      <c r="B13" s="3" t="inlineStr">
        <is>
          <t>Q03</t>
        </is>
      </c>
      <c r="C13" s="3" t="inlineStr">
        <is>
          <t>Compare Asana, Monday.com and Trello pricing</t>
        </is>
      </c>
      <c r="D13" s="3" t="inlineStr">
        <is>
          <t>Trello</t>
        </is>
      </c>
      <c r="E13" s="3" t="inlineStr">
        <is>
          <t>[pricing]
Free $0 / Standard $5 per user/month billed annually ($6 billed monthly) / Premium $10 per user/month billed annually ($12.50 billed monthly) / Enterprise (contact sales)
Free tier &amp; trial: Free plan for individuals or small teams, up to 10 collaborators per Workspace</t>
        </is>
      </c>
      <c r="F13" s="4" t="inlineStr">
        <is>
          <t>https://www.trello.com/pricing</t>
        </is>
      </c>
      <c r="G13" s="4" t="inlineStr">
        <is>
          <t>https://lifestack.ai/blog/trello-pricing</t>
        </is>
      </c>
      <c r="H13" s="3" t="inlineStr">
        <is>
          <t>搜索收录 search / 搜索收录 search</t>
        </is>
      </c>
      <c r="I13" s="3" t="inlineStr">
        <is>
          <t>通过 verified</t>
        </is>
      </c>
      <c r="J13" s="5" t="n"/>
      <c r="K13" s="5" t="n"/>
      <c r="L13" s="5" t="n"/>
      <c r="M13" s="5" t="n"/>
      <c r="N13" s="3">
        <f>IF(COUNTA(J13:M13)&lt;4,"",IF(COUNTIF(J13:M13,"Y")=4,"正确","错误"))</f>
        <v/>
      </c>
      <c r="O13" s="3" t="n"/>
    </row>
    <row r="14">
      <c r="A14" s="3" t="n">
        <v>13</v>
      </c>
      <c r="B14" s="3" t="inlineStr">
        <is>
          <t>Q04</t>
        </is>
      </c>
      <c r="C14" s="3" t="inlineStr">
        <is>
          <t>我们做 CRM，帮我查 Salesforce、HubSpot、纷享销客</t>
        </is>
      </c>
      <c r="D14" s="3" t="inlineStr">
        <is>
          <t>Salesforce</t>
        </is>
      </c>
      <c r="E14" s="3" t="inlineStr">
        <is>
          <t>[pricing]
Starter Suite $25 USD/user/month；其余产品（Agentforce、Sales Cloud、Service Cloud 等）价格需查看各产品页或联系销售
计价单位: 按用户每月计费（USD/user/month）
免费策略: 可免费开始使用（Start for free），具体免费额度未说明</t>
        </is>
      </c>
      <c r="F14" s="4" t="inlineStr">
        <is>
          <t>https://www.salesforce.com/ap/?ir=1&amp;bc=DB</t>
        </is>
      </c>
      <c r="G14" s="4" t="inlineStr">
        <is>
          <t>https://www.salesforce.com/pricing/?bc=DB</t>
        </is>
      </c>
      <c r="H14" s="3" t="inlineStr">
        <is>
          <t>官网 official / 官网 official</t>
        </is>
      </c>
      <c r="I14" s="3" t="inlineStr">
        <is>
          <t>通过 verified</t>
        </is>
      </c>
      <c r="J14" s="5" t="n"/>
      <c r="K14" s="5" t="n"/>
      <c r="L14" s="5" t="n"/>
      <c r="M14" s="5" t="n"/>
      <c r="N14" s="3">
        <f>IF(COUNTA(J14:M14)&lt;4,"",IF(COUNTIF(J14:M14,"Y")=4,"正确","错误"))</f>
        <v/>
      </c>
      <c r="O14" s="3" t="n"/>
    </row>
    <row r="15">
      <c r="A15" s="3" t="n">
        <v>14</v>
      </c>
      <c r="B15" s="3" t="inlineStr">
        <is>
          <t>Q04</t>
        </is>
      </c>
      <c r="C15" s="3" t="inlineStr">
        <is>
          <t>我们做 CRM，帮我查 Salesforce、HubSpot、纷享销客</t>
        </is>
      </c>
      <c r="D15" s="3" t="inlineStr">
        <is>
          <t>HubSpot</t>
        </is>
      </c>
      <c r="E15" s="3" t="inlineStr">
        <is>
          <t>[pricing]
Sales Hub：免费 $0 / Starter $50.00 每月2用户 / Professional $500.00 5用户 / Enterprise $1,200.00 每月10用户
计价单位: 按用户数计价：Starter 含2用户、Professional 含5用户、Enterprise 含10用户
计费方式: 默认按年计费，月付价格通常高10–20%
附加成本: 额外营销联系人按每千个$50–$100计费，另有入职、专属支持等附加费
免费策略: 免费CRM含联系人、交易、邮件跟踪等基础功能，所有套餐用户均可使用免费功能
当前优惠: Vendr数据显示买家平均节省18%，常见低于标价15–30%</t>
        </is>
      </c>
      <c r="F15" s="4" t="inlineStr">
        <is>
          <t>https://www.partnershare.cn/product/hubspot-sales-hub/price</t>
        </is>
      </c>
      <c r="G15" s="4" t="inlineStr">
        <is>
          <t>https://www.vendr.com/marketplace/hubspot</t>
        </is>
      </c>
      <c r="H15" s="3" t="inlineStr">
        <is>
          <t>官网 official / 官网 official</t>
        </is>
      </c>
      <c r="I15" s="3" t="inlineStr">
        <is>
          <t>重查后通过 re-queried</t>
        </is>
      </c>
      <c r="J15" s="5" t="n"/>
      <c r="K15" s="5" t="n"/>
      <c r="L15" s="5" t="n"/>
      <c r="M15" s="5" t="n"/>
      <c r="N15" s="3">
        <f>IF(COUNTA(J15:M15)&lt;4,"",IF(COUNTIF(J15:M15,"Y")=4,"正确","错误"))</f>
        <v/>
      </c>
      <c r="O15" s="3" t="n"/>
    </row>
    <row r="16">
      <c r="A16" s="3" t="n">
        <v>15</v>
      </c>
      <c r="B16" s="3" t="inlineStr">
        <is>
          <t>Q04</t>
        </is>
      </c>
      <c r="C16" s="3" t="inlineStr">
        <is>
          <t>我们做 CRM，帮我查 Salesforce、HubSpot、纷享销客</t>
        </is>
      </c>
      <c r="D16" s="3" t="inlineStr">
        <is>
          <t>纷享销客</t>
        </is>
      </c>
      <c r="E16" s="3" t="inlineStr">
        <is>
          <t>[pricing]
专业版 ¥119/人/月、旗舰版 ¥220/人/月、AI旗舰版 ¥273/人/月，均12个月起购
计价单位: 按账号数计费，每用户每月，12个月起购
计费方式: 按人/月标价，12个月起购，人民币计价
附加成本: 支持CRM系统定制报价，具体报价需咨询热线
免费策略: 官网提供免费试用入口，未说明试用时长与功能限制</t>
        </is>
      </c>
      <c r="F16" s="4" t="inlineStr">
        <is>
          <t>https://www.fxiaoke.com/ap/market-price</t>
        </is>
      </c>
      <c r="G16" s="4" t="inlineStr">
        <is>
          <t>https://www.fxiaoke.com/</t>
        </is>
      </c>
      <c r="H16" s="3" t="inlineStr">
        <is>
          <t>官网 official / 官网 official</t>
        </is>
      </c>
      <c r="I16" s="3" t="inlineStr">
        <is>
          <t>重查后通过 re-queried</t>
        </is>
      </c>
      <c r="J16" s="5" t="n"/>
      <c r="K16" s="5" t="n"/>
      <c r="L16" s="5" t="n"/>
      <c r="M16" s="5" t="n"/>
      <c r="N16" s="3">
        <f>IF(COUNTA(J16:M16)&lt;4,"",IF(COUNTIF(J16:M16,"Y")=4,"正确","错误"))</f>
        <v/>
      </c>
      <c r="O16" s="3" t="n"/>
    </row>
    <row r="17">
      <c r="A17" s="3" t="n">
        <v>16</v>
      </c>
      <c r="B17" s="3" t="inlineStr">
        <is>
          <t>Q04</t>
        </is>
      </c>
      <c r="C17" s="3" t="inlineStr">
        <is>
          <t>我们做 CRM，帮我查 Salesforce、HubSpot、纷享销客</t>
        </is>
      </c>
      <c r="D17" s="3" t="inlineStr">
        <is>
          <t>纷享销客</t>
        </is>
      </c>
      <c r="E17" s="3" t="inlineStr">
        <is>
          <t>[features]
AI销售助理、线索与商机管理、CPQ报价下单、客户360°洞察、智能客服与工单、PaaS定制与BI分析</t>
        </is>
      </c>
      <c r="F17" s="4" t="inlineStr">
        <is>
          <t>https://www.fxiaoke.com/</t>
        </is>
      </c>
      <c r="G17" s="4" t="inlineStr">
        <is>
          <t>https://www.fxiaoke.com/ap/product-xs/</t>
        </is>
      </c>
      <c r="H17" s="3" t="inlineStr">
        <is>
          <t>官网 official / 官网 official</t>
        </is>
      </c>
      <c r="I17" s="3" t="inlineStr">
        <is>
          <t>通过 verified</t>
        </is>
      </c>
      <c r="J17" s="5" t="n"/>
      <c r="K17" s="5" t="n"/>
      <c r="L17" s="5" t="n"/>
      <c r="M17" s="5" t="n"/>
      <c r="N17" s="3">
        <f>IF(COUNTA(J17:M17)&lt;4,"",IF(COUNTIF(J17:M17,"Y")=4,"正确","错误"))</f>
        <v/>
      </c>
      <c r="O17" s="3" t="n"/>
    </row>
    <row r="18">
      <c r="A18" s="3" t="n">
        <v>17</v>
      </c>
      <c r="B18" s="3" t="inlineStr">
        <is>
          <t>Q04</t>
        </is>
      </c>
      <c r="C18" s="3" t="inlineStr">
        <is>
          <t>我们做 CRM，帮我查 Salesforce、HubSpot、纷享销客</t>
        </is>
      </c>
      <c r="D18" s="3" t="inlineStr">
        <is>
          <t>HubSpot</t>
        </is>
      </c>
      <c r="E18" s="3" t="inlineStr">
        <is>
          <t>[region]
美国 · 波士顿，2006 年创立，服务全球数百万企业</t>
        </is>
      </c>
      <c r="F18" s="4" t="inlineStr">
        <is>
          <t>https://www.hubspot.com/our-story</t>
        </is>
      </c>
      <c r="G18" s="3" t="inlineStr"/>
      <c r="H18" s="3" t="inlineStr">
        <is>
          <t>官网 official</t>
        </is>
      </c>
      <c r="I18" s="3" t="inlineStr">
        <is>
          <t>通过 verified</t>
        </is>
      </c>
      <c r="J18" s="5" t="n"/>
      <c r="K18" s="5" t="n"/>
      <c r="L18" s="5" t="n"/>
      <c r="M18" s="5" t="n"/>
      <c r="N18" s="3">
        <f>IF(COUNTA(J18:M18)&lt;4,"",IF(COUNTIF(J18:M18,"Y")=4,"正确","错误"))</f>
        <v/>
      </c>
      <c r="O18" s="3" t="n"/>
    </row>
    <row r="19">
      <c r="A19" s="3" t="n">
        <v>18</v>
      </c>
      <c r="B19" s="3" t="inlineStr">
        <is>
          <t>Q05</t>
        </is>
      </c>
      <c r="C19" s="3" t="inlineStr">
        <is>
          <t>Find competitors of Calendly</t>
        </is>
      </c>
      <c r="D19" s="3" t="inlineStr">
        <is>
          <t>Doodle</t>
        </is>
      </c>
      <c r="E19" s="3" t="inlineStr">
        <is>
          <t>[size]
100+ employees spread over four countries (Doodle careers site, 2026); LinkedIn lists 51–200 employees</t>
        </is>
      </c>
      <c r="F19" s="4" t="inlineStr">
        <is>
          <t>https://careers.doodle.com/</t>
        </is>
      </c>
      <c r="G19" s="4" t="inlineStr">
        <is>
          <t>https://www.linkedin.com/company/doodle-ag</t>
        </is>
      </c>
      <c r="H19" s="3" t="inlineStr">
        <is>
          <t>官网 official / 搜索收录 search</t>
        </is>
      </c>
      <c r="I19" s="3" t="inlineStr">
        <is>
          <t>重查后通过 re-queried</t>
        </is>
      </c>
      <c r="J19" s="5" t="n"/>
      <c r="K19" s="5" t="n"/>
      <c r="L19" s="5" t="n"/>
      <c r="M19" s="5" t="n"/>
      <c r="N19" s="3">
        <f>IF(COUNTA(J19:M19)&lt;4,"",IF(COUNTIF(J19:M19,"Y")=4,"正确","错误"))</f>
        <v/>
      </c>
      <c r="O19" s="3" t="n"/>
    </row>
    <row r="20">
      <c r="A20" s="3" t="n">
        <v>19</v>
      </c>
      <c r="B20" s="3" t="inlineStr">
        <is>
          <t>Q05</t>
        </is>
      </c>
      <c r="C20" s="3" t="inlineStr">
        <is>
          <t>Find competitors of Calendly</t>
        </is>
      </c>
      <c r="D20" s="3" t="inlineStr">
        <is>
          <t>Doodle</t>
        </is>
      </c>
      <c r="E20" s="3" t="inlineStr">
        <is>
          <t>[funding]
2022 年 9 月 A 轮 5400 万美元，Seven Seven Six 领投，Acrew Capital、FTX Ventures、50T Funds 参投，估值 7.04 亿美元</t>
        </is>
      </c>
      <c r="F20" s="4" t="inlineStr">
        <is>
          <t>https://www.coindesk.com/business/2022/09/13/nft-marketplace-doodles-raises-54m-at-704m-valuation</t>
        </is>
      </c>
      <c r="G20" s="4" t="inlineStr">
        <is>
          <t>https://multiples.vc/private-comps/doodles</t>
        </is>
      </c>
      <c r="H20" s="3" t="inlineStr">
        <is>
          <t>网页 web / 网页 web</t>
        </is>
      </c>
      <c r="I20" s="3" t="inlineStr">
        <is>
          <t>重查后通过 re-queried</t>
        </is>
      </c>
      <c r="J20" s="5" t="n"/>
      <c r="K20" s="5" t="n"/>
      <c r="L20" s="5" t="n"/>
      <c r="M20" s="5" t="n"/>
      <c r="N20" s="3">
        <f>IF(COUNTA(J20:M20)&lt;4,"",IF(COUNTIF(J20:M20,"Y")=4,"正确","错误"))</f>
        <v/>
      </c>
      <c r="O20" s="3" t="n"/>
    </row>
    <row r="21">
      <c r="A21" s="3" t="n">
        <v>20</v>
      </c>
      <c r="B21" s="3" t="inlineStr">
        <is>
          <t>Q05</t>
        </is>
      </c>
      <c r="C21" s="3" t="inlineStr">
        <is>
          <t>Find competitors of Calendly</t>
        </is>
      </c>
      <c r="D21" s="3" t="inlineStr">
        <is>
          <t>HubSpot Meetings</t>
        </is>
      </c>
      <c r="E21" s="3" t="inlineStr">
        <is>
          <t>[funding]
已上市（IPO Status: Public）；累计融资 $100.5M，共 6 轮，最近为 2012 年 11 月 $35M Series E</t>
        </is>
      </c>
      <c r="F21" s="4" t="inlineStr">
        <is>
          <t>https://startupintros.com/orgs/hubspot</t>
        </is>
      </c>
      <c r="G21" s="3" t="inlineStr"/>
      <c r="H21" s="3" t="inlineStr">
        <is>
          <t>网页 web</t>
        </is>
      </c>
      <c r="I21" s="3" t="inlineStr">
        <is>
          <t>重查后通过 re-queried</t>
        </is>
      </c>
      <c r="J21" s="5" t="n"/>
      <c r="K21" s="5" t="n"/>
      <c r="L21" s="5" t="n"/>
      <c r="M21" s="5" t="n"/>
      <c r="N21" s="3">
        <f>IF(COUNTA(J21:M21)&lt;4,"",IF(COUNTIF(J21:M21,"Y")=4,"正确","错误"))</f>
        <v/>
      </c>
      <c r="O21" s="3" t="n"/>
    </row>
    <row r="22">
      <c r="A22" s="3" t="n">
        <v>21</v>
      </c>
      <c r="B22" s="3" t="inlineStr">
        <is>
          <t>Q05</t>
        </is>
      </c>
      <c r="C22" s="3" t="inlineStr">
        <is>
          <t>Find competitors of Calendly</t>
        </is>
      </c>
      <c r="D22" s="3" t="inlineStr">
        <is>
          <t>Cal.com</t>
        </is>
      </c>
      <c r="E22" s="3" t="inlineStr">
        <is>
          <t>[funding]
$7.4m seed round led by Joseph Jacks of OSS Capital (2022); later $25.0M Series A in April 2022; total raised about $32.4M over 2 rounds.</t>
        </is>
      </c>
      <c r="F22" s="4" t="inlineStr">
        <is>
          <t>https://cal.com/blog/seed</t>
        </is>
      </c>
      <c r="G22" s="4" t="inlineStr">
        <is>
          <t>https://startupintros.com/orgs/cal-com</t>
        </is>
      </c>
      <c r="H22" s="3" t="inlineStr">
        <is>
          <t>搜索收录 search / 搜索收录 search</t>
        </is>
      </c>
      <c r="I22" s="3" t="inlineStr">
        <is>
          <t>通过 verified</t>
        </is>
      </c>
      <c r="J22" s="5" t="n"/>
      <c r="K22" s="5" t="n"/>
      <c r="L22" s="5" t="n"/>
      <c r="M22" s="5" t="n"/>
      <c r="N22" s="3">
        <f>IF(COUNTA(J22:M22)&lt;4,"",IF(COUNTIF(J22:M22,"Y")=4,"正确","错误"))</f>
        <v/>
      </c>
      <c r="O22" s="3" t="n"/>
    </row>
    <row r="23">
      <c r="A23" s="3" t="n">
        <v>22</v>
      </c>
      <c r="B23" s="3" t="inlineStr">
        <is>
          <t>Q05</t>
        </is>
      </c>
      <c r="C23" s="3" t="inlineStr">
        <is>
          <t>Find competitors of Calendly</t>
        </is>
      </c>
      <c r="D23" s="3" t="inlineStr">
        <is>
          <t>Cal.com</t>
        </is>
      </c>
      <c r="E23" s="3" t="inlineStr">
        <is>
          <t>[overview]
Fully customizable scheduling software for individuals, businesses taking calls, and developers building scheduling platforms where users meet users.</t>
        </is>
      </c>
      <c r="F23" s="4" t="inlineStr">
        <is>
          <t>https://cal.com</t>
        </is>
      </c>
      <c r="G23" s="4" t="inlineStr">
        <is>
          <t>https://cal.com/about</t>
        </is>
      </c>
      <c r="H23" s="3" t="inlineStr">
        <is>
          <t>官网 official / 官网 official</t>
        </is>
      </c>
      <c r="I23" s="3" t="inlineStr">
        <is>
          <t>通过 verified</t>
        </is>
      </c>
      <c r="J23" s="5" t="n"/>
      <c r="K23" s="5" t="n"/>
      <c r="L23" s="5" t="n"/>
      <c r="M23" s="5" t="n"/>
      <c r="N23" s="3">
        <f>IF(COUNTA(J23:M23)&lt;4,"",IF(COUNTIF(J23:M23,"Y")=4,"正确","错误"))</f>
        <v/>
      </c>
      <c r="O23" s="3" t="n"/>
    </row>
    <row r="24">
      <c r="A24" s="3" t="n">
        <v>23</v>
      </c>
      <c r="B24" s="3" t="inlineStr">
        <is>
          <t>Q06</t>
        </is>
      </c>
      <c r="C24" s="3" t="inlineStr">
        <is>
          <t>查飞书、钉钉、企业微信的定价和功能</t>
        </is>
      </c>
      <c r="D24" s="3" t="inlineStr">
        <is>
          <t>飞书</t>
        </is>
      </c>
      <c r="E24" s="3" t="inlineStr">
        <is>
          <t>[pricing]
Lark 提供从免费入门版到 Pro 及企业版的多档套餐，具体价格需联系销售
免费策略: 提供免费入门套餐（free starter pack），具体额度未说明</t>
        </is>
      </c>
      <c r="F24" s="4" t="inlineStr">
        <is>
          <t>https://www.larksuite.com/en_sg/plans</t>
        </is>
      </c>
      <c r="G24" s="3" t="inlineStr"/>
      <c r="H24" s="3" t="inlineStr">
        <is>
          <t>官网 official</t>
        </is>
      </c>
      <c r="I24" s="3" t="inlineStr">
        <is>
          <t>重查后通过 re-queried</t>
        </is>
      </c>
      <c r="J24" s="5" t="n"/>
      <c r="K24" s="5" t="n"/>
      <c r="L24" s="5" t="n"/>
      <c r="M24" s="5" t="n"/>
      <c r="N24" s="3">
        <f>IF(COUNTA(J24:M24)&lt;4,"",IF(COUNTIF(J24:M24,"Y")=4,"正确","错误"))</f>
        <v/>
      </c>
      <c r="O24" s="3" t="n"/>
    </row>
    <row r="25">
      <c r="A25" s="3" t="n">
        <v>24</v>
      </c>
      <c r="B25" s="3" t="inlineStr">
        <is>
          <t>Q06</t>
        </is>
      </c>
      <c r="C25" s="3" t="inlineStr">
        <is>
          <t>查飞书、钉钉、企业微信的定价和功能</t>
        </is>
      </c>
      <c r="D25" s="3" t="inlineStr">
        <is>
          <t>钉钉</t>
        </is>
      </c>
      <c r="E25" s="3" t="inlineStr">
        <is>
          <t>[features]
企业级智能移动办公平台，提供组织协同办公、应用开发、AI 工作现场与 DingTalk A1 硬件</t>
        </is>
      </c>
      <c r="F25" s="4" t="inlineStr">
        <is>
          <t>https://www.dingtalk.com/</t>
        </is>
      </c>
      <c r="G25" s="3" t="inlineStr"/>
      <c r="H25" s="3" t="inlineStr">
        <is>
          <t>官网 official</t>
        </is>
      </c>
      <c r="I25" s="3" t="inlineStr">
        <is>
          <t>重查后通过 re-queried</t>
        </is>
      </c>
      <c r="J25" s="5" t="n"/>
      <c r="K25" s="5" t="n"/>
      <c r="L25" s="5" t="n"/>
      <c r="M25" s="5" t="n"/>
      <c r="N25" s="3">
        <f>IF(COUNTA(J25:M25)&lt;4,"",IF(COUNTIF(J25:M25,"Y")=4,"正确","错误"))</f>
        <v/>
      </c>
      <c r="O25" s="3" t="n"/>
    </row>
    <row r="26">
      <c r="A26" s="3" t="n">
        <v>25</v>
      </c>
      <c r="B26" s="3" t="inlineStr">
        <is>
          <t>Q07</t>
        </is>
      </c>
      <c r="C26" s="3" t="inlineStr">
        <is>
          <t>Zoom, Microsoft Teams, Google Meet: pricing and recent news</t>
        </is>
      </c>
      <c r="D26" s="3" t="inlineStr">
        <is>
          <t>Zoom</t>
        </is>
      </c>
      <c r="E26" s="3" t="inlineStr">
        <is>
          <t>[pricing]
Basic free / Pro $16.99 per user/month billed monthly ($14.16 annually) / Business $21.99 monthly ($18.33 annually) / Enterprise contact sales
Pricing unit: Per user per month, in USD
Billing: Monthly or annual billing; annual rates are lower (Pro $14.16 vs $16.99, Business $18.33 vs $21.99), in USD
Free tier &amp; trial: Basic plan free: 40-minute meetings, 100 participants, 3 meeting summaries and 20 AI queries per month</t>
        </is>
      </c>
      <c r="F26" s="4" t="inlineStr">
        <is>
          <t>https://zoom.us/pricing</t>
        </is>
      </c>
      <c r="G26" s="3" t="inlineStr"/>
      <c r="H26" s="3" t="inlineStr">
        <is>
          <t>官网 official</t>
        </is>
      </c>
      <c r="I26" s="3" t="inlineStr">
        <is>
          <t>通过 verified</t>
        </is>
      </c>
      <c r="J26" s="5" t="n"/>
      <c r="K26" s="5" t="n"/>
      <c r="L26" s="5" t="n"/>
      <c r="M26" s="5" t="n"/>
      <c r="N26" s="3">
        <f>IF(COUNTA(J26:M26)&lt;4,"",IF(COUNTIF(J26:M26,"Y")=4,"正确","错误"))</f>
        <v/>
      </c>
      <c r="O26" s="3" t="n"/>
    </row>
    <row r="27">
      <c r="A27" s="3" t="n">
        <v>26</v>
      </c>
      <c r="B27" s="3" t="inlineStr">
        <is>
          <t>Q07</t>
        </is>
      </c>
      <c r="C27" s="3" t="inlineStr">
        <is>
          <t>Zoom, Microsoft Teams, Google Meet: pricing and recent news</t>
        </is>
      </c>
      <c r="D27" s="3" t="inlineStr">
        <is>
          <t>Google Meet</t>
        </is>
      </c>
      <c r="E27" s="3" t="inlineStr">
        <is>
          <t>[pricing]
Starter $9.40 / Standard $18.80 / Plus $29.40 per user/month; Enterprise "Let's talk" (Contact sales)
Pricing unit: Per user per month, tax excluded; Starter/Standard/Plus max 300 users, no minimum stated
Billing: Annual with 1-year commitment saves 16%; all plans billed monthly, prices in SGD
Extra costs: Assured Controls &amp; AI Classification available as add-on for Enterprise
Free tier &amp; trial: 14-day free trial; no free Workspace plan listed
Current offer: Up to 30% off first 3 months (Nov 8, 2026–Feb 8, 2027); intro price for first 20 users, 12 months</t>
        </is>
      </c>
      <c r="F27" s="4" t="inlineStr">
        <is>
          <t>https://workspace.google.com/pricing</t>
        </is>
      </c>
      <c r="G27" s="3" t="inlineStr"/>
      <c r="H27" s="3" t="inlineStr">
        <is>
          <t>官网 official</t>
        </is>
      </c>
      <c r="I27" s="3" t="inlineStr">
        <is>
          <t>通过 verified</t>
        </is>
      </c>
      <c r="J27" s="5" t="n"/>
      <c r="K27" s="5" t="n"/>
      <c r="L27" s="5" t="n"/>
      <c r="M27" s="5" t="n"/>
      <c r="N27" s="3">
        <f>IF(COUNTA(J27:M27)&lt;4,"",IF(COUNTIF(J27:M27,"Y")=4,"正确","错误"))</f>
        <v/>
      </c>
      <c r="O27" s="3" t="n"/>
    </row>
    <row r="28">
      <c r="A28" s="3" t="n">
        <v>27</v>
      </c>
      <c r="B28" s="3" t="inlineStr">
        <is>
          <t>Q07</t>
        </is>
      </c>
      <c r="C28" s="3" t="inlineStr">
        <is>
          <t>Zoom, Microsoft Teams, Google Meet: pricing and recent news</t>
        </is>
      </c>
      <c r="D28" s="3" t="inlineStr">
        <is>
          <t>Zoom</t>
        </is>
      </c>
      <c r="E28" s="3" t="inlineStr">
        <is>
          <t>[news]
5 recent updates
news.google.com: A nonprofit founder uses Zoom AI to turn meetings into finished follow-up work.
news.google.com: Zoom explained how its Unified Context Layer keeps meeting context available for IT teams.
news.google.com: Zoom launched a Unified Context Layer to turn meeting conversations into completed work.
news.google.com: Zoom announced new Zoom Meetings features that turn conversations into completed work.
news.google.com: Zoom added World's 'Proof of Human' badges to fight fraud and deep fakes.</t>
        </is>
      </c>
      <c r="F28" s="4" t="inlineStr">
        <is>
          <t>https://news.google.com/rss/articles/CBMia0FVX3lxTE52czFOS0owbEhHa21mc05wck9BSDVzT1JOalViZnRFcTJKY0lHNkgyX3liQk5SZVJuNV9sN2IzZmZjb1NaVUpYdVFmMUp0Z3o4TUR0Z2pDTFBqUTk3ZS1SRURIdV9XSkVmNFg0?oc=5</t>
        </is>
      </c>
      <c r="G28" s="4" t="inlineStr">
        <is>
          <t>https://news.google.com/rss/articles/CBMiakFVX3lxTFBmcUFFVGltR29GUU1qSzgta0k0MV95VGV2RmdwQ2ZZUGhSelVBTHBESklzM1ZKTEFPX21GUC1ob0MzVnBBenRSWTVBSzdQelVpankycklNRE1ER25ka1NnZE1nbnVTUl9UY0E?oc=5</t>
        </is>
      </c>
      <c r="H28" s="3" t="inlineStr">
        <is>
          <t>新闻 news / 新闻 news</t>
        </is>
      </c>
      <c r="I28" s="3" t="inlineStr">
        <is>
          <t>通过 verified</t>
        </is>
      </c>
      <c r="J28" s="5" t="n"/>
      <c r="K28" s="5" t="n"/>
      <c r="L28" s="5" t="n"/>
      <c r="M28" s="5" t="n"/>
      <c r="N28" s="3">
        <f>IF(COUNTA(J28:M28)&lt;4,"",IF(COUNTIF(J28:M28,"Y")=4,"正确","错误"))</f>
        <v/>
      </c>
      <c r="O28" s="3" t="n"/>
    </row>
    <row r="29">
      <c r="A29" s="3" t="n">
        <v>28</v>
      </c>
      <c r="B29" s="3" t="inlineStr">
        <is>
          <t>Q07</t>
        </is>
      </c>
      <c r="C29" s="3" t="inlineStr">
        <is>
          <t>Zoom, Microsoft Teams, Google Meet: pricing and recent news</t>
        </is>
      </c>
      <c r="D29" s="3" t="inlineStr">
        <is>
          <t>Microsoft Teams</t>
        </is>
      </c>
      <c r="E29" s="3" t="inlineStr">
        <is>
          <t>[news]
5 recent updates
news.google.com: Workers shared tips on appearing active in Microsoft Teams, while Newsweek examined whether employers can detect such ta
news.google.com: Windows Central reported that Microsoft Teams added a long-requested feature, which the writer said could bring them bac
news.google.com: Purdue University Northwest announced its migration to Microsoft Teams Calling.
news.google.com: Google Meet and Microsoft Teams improved their interoperability, according to Android Authority.
news.google.com: Microsoft said it will remove the Copilot shortcut from the Teams chat list next month.</t>
        </is>
      </c>
      <c r="F29" s="4" t="inlineStr">
        <is>
          <t>https://news.google.com/rss/articles/CBMiqwFBVV95cUxQNW1ldWxsaC1Lb2NPYkUyWndzSXpiZlNvZUpGVUZyQTdkcFVMbTl6dXFjRWZHRURzbjBFY2wtVVA3NEVLUWZmZmdlMkdxZm5mWlMyVFVBSmRKUmVOUVh3VERKLWVfQmlzX1FvWm1yanhabWN3SDJhbFF5cGhkb3kxMGxLeXBtVVRpNEVMckdTUGxEVTNzMFRUYmE0ZVRfeXJPb3c1aDlxNFJPSjQ?oc=5</t>
        </is>
      </c>
      <c r="G29" s="4" t="inlineStr">
        <is>
          <t>https://news.google.com/rss/articles/CBMiyAFBVV95cUxQZ0UtTGdQYVp2VllBaS1qQU9abXpxUFhJUmk5UEt5Q3NfeUcxRDZPSTl4c3JGSzhxV19Nc3luejNxM2luUXhEaUtQbkpVWnVERGFJaHQ5TDJrZmtOb1B1RWZPQjUxeHlZYThURWdFSHBUOGFueHRmSmI0REptamdsYXNuZ3JHS3VWSURUWktHT0I1TGw2Wl96OFVqdU02cGJEcFNLTE91dEp4YXUwSHdlWUdJb2NqTElyOFJGUW5aMEtDUGJHRFVTZQ?oc=5</t>
        </is>
      </c>
      <c r="H29" s="3" t="inlineStr">
        <is>
          <t>新闻 news / 新闻 news</t>
        </is>
      </c>
      <c r="I29" s="3" t="inlineStr">
        <is>
          <t>通过 verified</t>
        </is>
      </c>
      <c r="J29" s="5" t="n"/>
      <c r="K29" s="5" t="n"/>
      <c r="L29" s="5" t="n"/>
      <c r="M29" s="5" t="n"/>
      <c r="N29" s="3">
        <f>IF(COUNTA(J29:M29)&lt;4,"",IF(COUNTIF(J29:M29,"Y")=4,"正确","错误"))</f>
        <v/>
      </c>
      <c r="O29" s="3" t="n"/>
    </row>
    <row r="30">
      <c r="A30" s="3" t="n">
        <v>29</v>
      </c>
      <c r="B30" s="3" t="inlineStr">
        <is>
          <t>Q07</t>
        </is>
      </c>
      <c r="C30" s="3" t="inlineStr">
        <is>
          <t>Zoom, Microsoft Teams, Google Meet: pricing and recent news</t>
        </is>
      </c>
      <c r="D30" s="3" t="inlineStr">
        <is>
          <t>Google Meet</t>
        </is>
      </c>
      <c r="E30" s="3" t="inlineStr">
        <is>
          <t>[news]
5 recent updates
news.google.com: Google Meet now supports 1080p video resolution, with a caveat noted by Mashable.
news.google.com: TechRadar lists 12 alternatives to Google Meet for better privacy and more powerful features.
news.google.com: Hackers are using fake Google Meet pages to steal Google credentials, CyberSecurityNews reports.
news.google.com: Google Meet added automated tasks and stronger security features, SammyGuru reports.
news.google.com: Google Meet and Microsoft Teams improved their interoperability for working together.</t>
        </is>
      </c>
      <c r="F30" s="4" t="inlineStr">
        <is>
          <t>https://news.google.com/rss/articles/CBMiYkFVX3lxTE56VGoxN1dUZkpZWEtTeGhQRzd6WlFqS2pwVTFDVHpkSW5aX2hVVktMVWhaNjlmU0xoUVU0d0ZWM2dyeGVFOVZJeUNRZFFUQURlazBOT1ZFMldTNG52ZjNCd19B?oc=5</t>
        </is>
      </c>
      <c r="G30" s="4" t="inlineStr">
        <is>
          <t>https://news.google.com/rss/articles/CBMiwgFBVV95cUxPTGxuMVdQOUlvclJfTzU2dE14Qm51S1NMZWZXOXhHeGdxck8zSEtxaDFLYzlOajJ5ZDRWQ3RsVzNEaGxhQUtuZmlpZmxhVFp6SkNiendPWm1XeGM1cHIxZXV2Y0FBeFVEU3BPNTYwN3pXQkp2QlE4akRWR21FOUJhVS1wUDNURmNCU2I0dVBPNXVhMnJneGZWTGJmSzlPOU55NkgxazVoY2JmeXdrLTJOV0RkOGtTdDdoVnJra0ZsNXRCQQ?oc=5</t>
        </is>
      </c>
      <c r="H30" s="3" t="inlineStr">
        <is>
          <t>新闻 news / 新闻 news</t>
        </is>
      </c>
      <c r="I30" s="3" t="inlineStr">
        <is>
          <t>通过 verified</t>
        </is>
      </c>
      <c r="J30" s="5" t="n"/>
      <c r="K30" s="5" t="n"/>
      <c r="L30" s="5" t="n"/>
      <c r="M30" s="5" t="n"/>
      <c r="N30" s="3">
        <f>IF(COUNTA(J30:M30)&lt;4,"",IF(COUNTIF(J30:M30,"Y")=4,"正确","错误"))</f>
        <v/>
      </c>
      <c r="O30" s="3" t="n"/>
    </row>
    <row r="31">
      <c r="A31" s="3" t="n">
        <v>30</v>
      </c>
      <c r="B31" s="3" t="inlineStr">
        <is>
          <t>Q08</t>
        </is>
      </c>
      <c r="C31" s="3" t="inlineStr">
        <is>
          <t>我们做 SaaS 客服系统，帮我找竞品</t>
        </is>
      </c>
      <c r="D31" s="3" t="inlineStr">
        <is>
          <t>Help Scout</t>
        </is>
      </c>
      <c r="E31" s="3" t="inlineStr">
        <is>
          <t>[size]
约140人，分布于全球115多个城市（官网招聘页，未注明年份）</t>
        </is>
      </c>
      <c r="F31" s="4" t="inlineStr">
        <is>
          <t>https://www.helpscout.com/company/careers/</t>
        </is>
      </c>
      <c r="G31" s="3" t="inlineStr"/>
      <c r="H31" s="3" t="inlineStr">
        <is>
          <t>官网 official</t>
        </is>
      </c>
      <c r="I31" s="3" t="inlineStr">
        <is>
          <t>通过 verified</t>
        </is>
      </c>
      <c r="J31" s="5" t="n"/>
      <c r="K31" s="5" t="n"/>
      <c r="L31" s="5" t="n"/>
      <c r="M31" s="5" t="n"/>
      <c r="N31" s="3">
        <f>IF(COUNTA(J31:M31)&lt;4,"",IF(COUNTIF(J31:M31,"Y")=4,"正确","错误"))</f>
        <v/>
      </c>
      <c r="O31" s="3" t="n"/>
    </row>
    <row r="32">
      <c r="A32" s="3" t="n">
        <v>31</v>
      </c>
      <c r="B32" s="3" t="inlineStr">
        <is>
          <t>Q08</t>
        </is>
      </c>
      <c r="C32" s="3" t="inlineStr">
        <is>
          <t>我们做 SaaS 客服系统，帮我找竞品</t>
        </is>
      </c>
      <c r="D32" s="3" t="inlineStr">
        <is>
          <t>Help Scout</t>
        </is>
      </c>
      <c r="E32" s="3" t="inlineStr">
        <is>
          <t>[overview]
面向成长型企业的客户沟通与客服平台，提供共享收件箱、AI客服Envoy、Copilot和Signal，服务1.2万多家客户团队</t>
        </is>
      </c>
      <c r="F32" s="4" t="inlineStr">
        <is>
          <t>https://www.helpscout.com/about/</t>
        </is>
      </c>
      <c r="G32" s="4" t="inlineStr">
        <is>
          <t>https://www.helpscout.com</t>
        </is>
      </c>
      <c r="H32" s="3" t="inlineStr">
        <is>
          <t>官网 official / 官网 official</t>
        </is>
      </c>
      <c r="I32" s="3" t="inlineStr">
        <is>
          <t>通过 verified</t>
        </is>
      </c>
      <c r="J32" s="5" t="n"/>
      <c r="K32" s="5" t="n"/>
      <c r="L32" s="5" t="n"/>
      <c r="M32" s="5" t="n"/>
      <c r="N32" s="3">
        <f>IF(COUNTA(J32:M32)&lt;4,"",IF(COUNTIF(J32:M32,"Y")=4,"正确","错误"))</f>
        <v/>
      </c>
      <c r="O32" s="3" t="n"/>
    </row>
    <row r="33">
      <c r="A33" s="3" t="n">
        <v>32</v>
      </c>
      <c r="B33" s="3" t="inlineStr">
        <is>
          <t>Q08</t>
        </is>
      </c>
      <c r="C33" s="3" t="inlineStr">
        <is>
          <t>我们做 SaaS 客服系统，帮我找竞品</t>
        </is>
      </c>
      <c r="D33" s="3" t="inlineStr">
        <is>
          <t>Freshdesk</t>
        </is>
      </c>
      <c r="E33" s="3" t="inlineStr">
        <is>
          <t>[overview]
Freshworks 旗下 AI 客户服务软件，提供全渠道工单、自动化工作流与 Freddy AI，面向客服团队</t>
        </is>
      </c>
      <c r="F33" s="4" t="inlineStr">
        <is>
          <t>https://www.freshworks.com/freshdesk/</t>
        </is>
      </c>
      <c r="G33" s="4" t="inlineStr">
        <is>
          <t>https://www.freshworks.com/company/about/</t>
        </is>
      </c>
      <c r="H33" s="3" t="inlineStr">
        <is>
          <t>官网 official / 官网 official</t>
        </is>
      </c>
      <c r="I33" s="3" t="inlineStr">
        <is>
          <t>通过 verified</t>
        </is>
      </c>
      <c r="J33" s="5" t="n"/>
      <c r="K33" s="5" t="n"/>
      <c r="L33" s="5" t="n"/>
      <c r="M33" s="5" t="n"/>
      <c r="N33" s="3">
        <f>IF(COUNTA(J33:M33)&lt;4,"",IF(COUNTIF(J33:M33,"Y")=4,"正确","错误"))</f>
        <v/>
      </c>
      <c r="O33" s="3" t="n"/>
    </row>
    <row r="34">
      <c r="A34" s="3" t="n">
        <v>33</v>
      </c>
      <c r="B34" s="3" t="inlineStr">
        <is>
          <t>Q08</t>
        </is>
      </c>
      <c r="C34" s="3" t="inlineStr">
        <is>
          <t>我们做 SaaS 客服系统，帮我找竞品</t>
        </is>
      </c>
      <c r="D34" s="3" t="inlineStr">
        <is>
          <t>Zendesk</t>
        </is>
      </c>
      <c r="E34" s="3" t="inlineStr">
        <is>
          <t>[overview]
服务优先的CRM公司，提供AI客服与员工服务软件，覆盖工单、消息、语音和知识库，服务8万多家企业</t>
        </is>
      </c>
      <c r="F34" s="4" t="inlineStr">
        <is>
          <t>https://www.zendesk.com/sg/company/</t>
        </is>
      </c>
      <c r="G34" s="4" t="inlineStr">
        <is>
          <t>https://www.zendesk.com/sg/company/agreements-and-terms/privacy-notice/</t>
        </is>
      </c>
      <c r="H34" s="3" t="inlineStr">
        <is>
          <t>官网 official / 官网 official</t>
        </is>
      </c>
      <c r="I34" s="3" t="inlineStr">
        <is>
          <t>通过 verified</t>
        </is>
      </c>
      <c r="J34" s="5" t="n"/>
      <c r="K34" s="5" t="n"/>
      <c r="L34" s="5" t="n"/>
      <c r="M34" s="5" t="n"/>
      <c r="N34" s="3">
        <f>IF(COUNTA(J34:M34)&lt;4,"",IF(COUNTIF(J34:M34,"Y")=4,"正确","错误"))</f>
        <v/>
      </c>
      <c r="O34" s="3" t="n"/>
    </row>
    <row r="35">
      <c r="A35" s="3" t="n">
        <v>34</v>
      </c>
      <c r="B35" s="3" t="inlineStr">
        <is>
          <t>Q08</t>
        </is>
      </c>
      <c r="C35" s="3" t="inlineStr">
        <is>
          <t>我们做 SaaS 客服系统，帮我找竞品</t>
        </is>
      </c>
      <c r="D35" s="3" t="inlineStr">
        <is>
          <t>Help Scout</t>
        </is>
      </c>
      <c r="E35" s="3" t="inlineStr">
        <is>
          <t>[region]
美国 · 特拉华州公益公司（PBC），团队远程分布于全球115多个城市</t>
        </is>
      </c>
      <c r="F35" s="4" t="inlineStr">
        <is>
          <t>https://www.helpscout.com/company/legal/terms-of-service/</t>
        </is>
      </c>
      <c r="G35" s="4" t="inlineStr">
        <is>
          <t>https://www.helpscout.com/about/</t>
        </is>
      </c>
      <c r="H35" s="3" t="inlineStr">
        <is>
          <t>官网 official / 官网 official</t>
        </is>
      </c>
      <c r="I35" s="3" t="inlineStr">
        <is>
          <t>通过 verified</t>
        </is>
      </c>
      <c r="J35" s="5" t="n"/>
      <c r="K35" s="5" t="n"/>
      <c r="L35" s="5" t="n"/>
      <c r="M35" s="5" t="n"/>
      <c r="N35" s="3">
        <f>IF(COUNTA(J35:M35)&lt;4,"",IF(COUNTIF(J35:M35,"Y")=4,"正确","错误"))</f>
        <v/>
      </c>
      <c r="O35" s="3" t="n"/>
    </row>
    <row r="36">
      <c r="A36" s="3" t="n">
        <v>35</v>
      </c>
      <c r="B36" s="3" t="inlineStr">
        <is>
          <t>Q09</t>
        </is>
      </c>
      <c r="C36" s="3" t="inlineStr">
        <is>
          <t>Figma vs Canva vs Sketch</t>
        </is>
      </c>
      <c r="D36" s="3" t="inlineStr">
        <is>
          <t>Figma</t>
        </is>
      </c>
      <c r="E36" s="3" t="inlineStr">
        <is>
          <t>[pricing]
Starter Free / Professional Full seat $16 /mo, Dev seat $12 /mo, Collab seat $3 /mo / Organization Full seat $55 /mo, Dev seat $25 /mo, Collab seat $5 /mo / Enterprise Full seat $90 /mo, Dev seat $35 /mo, Collab seat $5 /mo
Pricing unit: Per seat per month, with three seat types: Full seat, Dev seat and Collab seat.
Billing: Prices in USD; Professional offers Monthly or Annual, Organization and Enterprise are billed annually.
Free tier &amp; trial: Starter is free with limited access: unlimited drafts, UI kits and templates, 150 AI credits/day up to 500 AI credits/mo.
Current offer: AI add-ons are now available for all plans.</t>
        </is>
      </c>
      <c r="F36" s="4" t="inlineStr">
        <is>
          <t>https://www.figma.com/pricing/</t>
        </is>
      </c>
      <c r="G36" s="3" t="inlineStr"/>
      <c r="H36" s="3" t="inlineStr">
        <is>
          <t>官网 official</t>
        </is>
      </c>
      <c r="I36" s="3" t="inlineStr">
        <is>
          <t>通过 verified</t>
        </is>
      </c>
      <c r="J36" s="5" t="n"/>
      <c r="K36" s="5" t="n"/>
      <c r="L36" s="5" t="n"/>
      <c r="M36" s="5" t="n"/>
      <c r="N36" s="3">
        <f>IF(COUNTA(J36:M36)&lt;4,"",IF(COUNTIF(J36:M36,"Y")=4,"正确","错误"))</f>
        <v/>
      </c>
      <c r="O36" s="3" t="n"/>
    </row>
    <row r="37">
      <c r="A37" s="3" t="n">
        <v>36</v>
      </c>
      <c r="B37" s="3" t="inlineStr">
        <is>
          <t>Q09</t>
        </is>
      </c>
      <c r="C37" s="3" t="inlineStr">
        <is>
          <t>Figma vs Canva vs Sketch</t>
        </is>
      </c>
      <c r="D37" s="3" t="inlineStr">
        <is>
          <t>Canva</t>
        </is>
      </c>
      <c r="E37" s="3" t="inlineStr">
        <is>
          <t>[pricing]
Free US$0 / Pro US$144/year for one person / Business US$250/year per person / Enterprise contact sales
Pricing unit: Per person (per seat) per year; Business priced per person
Billing: Yearly billing shown with monthly toggle; yearly saves from 16%
Extra costs: AI Pass add-on and AI top-ups available at extra cost on Pro and Business
Free tier &amp; trial: Free plan: 5GB storage, 1 Brand Kit (3 colors), up to 20 Standard or Premium AI uses
Current offer: Yearly billing saves from 16% versus monthly</t>
        </is>
      </c>
      <c r="F37" s="4" t="inlineStr">
        <is>
          <t>https://www.canva.com/pricing/</t>
        </is>
      </c>
      <c r="G37" s="4" t="inlineStr">
        <is>
          <t>https://www.canva.com/help/subscription-options/</t>
        </is>
      </c>
      <c r="H37" s="3" t="inlineStr">
        <is>
          <t>官网 official / 搜索收录 search</t>
        </is>
      </c>
      <c r="I37" s="3" t="inlineStr">
        <is>
          <t>通过 verified</t>
        </is>
      </c>
      <c r="J37" s="5" t="n"/>
      <c r="K37" s="5" t="n"/>
      <c r="L37" s="5" t="n"/>
      <c r="M37" s="5" t="n"/>
      <c r="N37" s="3">
        <f>IF(COUNTA(J37:M37)&lt;4,"",IF(COUNTIF(J37:M37,"Y")=4,"正确","错误"))</f>
        <v/>
      </c>
      <c r="O37" s="3" t="n"/>
    </row>
    <row r="38">
      <c r="A38" s="3" t="n">
        <v>37</v>
      </c>
      <c r="B38" s="3" t="inlineStr">
        <is>
          <t>Q09</t>
        </is>
      </c>
      <c r="C38" s="3" t="inlineStr">
        <is>
          <t>Figma vs Canva vs Sketch</t>
        </is>
      </c>
      <c r="D38" s="3" t="inlineStr">
        <is>
          <t>Sketch</t>
        </is>
      </c>
      <c r="E38" s="3" t="inlineStr">
        <is>
          <t>[pricing]
Standard subscription (monthly per Editor, billed yearly) and Mac-only license (per Seat, $120 yearly seat cost); no full plan list with prices shown.
Pricing unit: Per Editor per month, billed yearly; Mac-only license is per seat including one year of updates
Billing: Prices shown are monthly per Editor billed yearly; a Monthly toggle exists; Professional plans billed yearly by credit card
Extra costs: One-time setup fee for Private Cloud plans; additional charges may apply for custom requirements
Free tier &amp; trial: No free plan; 30-day free trial without credit card; unlimited free Viewers; free Education Workspace with 1 Editor seat
Current offer: Free for education: students and educators get one year of free access</t>
        </is>
      </c>
      <c r="F38" s="4" t="inlineStr">
        <is>
          <t>https://www.sketch.com/license/</t>
        </is>
      </c>
      <c r="G38" s="4" t="inlineStr">
        <is>
          <t>https://www.sketch.com/pricing/</t>
        </is>
      </c>
      <c r="H38" s="3" t="inlineStr">
        <is>
          <t>官网 official / 官网 official</t>
        </is>
      </c>
      <c r="I38" s="3" t="inlineStr">
        <is>
          <t>重查后通过 re-queried</t>
        </is>
      </c>
      <c r="J38" s="5" t="n"/>
      <c r="K38" s="5" t="n"/>
      <c r="L38" s="5" t="n"/>
      <c r="M38" s="5" t="n"/>
      <c r="N38" s="3">
        <f>IF(COUNTA(J38:M38)&lt;4,"",IF(COUNTIF(J38:M38,"Y")=4,"正确","错误"))</f>
        <v/>
      </c>
      <c r="O38" s="3" t="n"/>
    </row>
    <row r="39">
      <c r="A39" s="3" t="n">
        <v>38</v>
      </c>
      <c r="B39" s="3" t="inlineStr">
        <is>
          <t>Q09</t>
        </is>
      </c>
      <c r="C39" s="3" t="inlineStr">
        <is>
          <t>Figma vs Canva vs Sketch</t>
        </is>
      </c>
      <c r="D39" s="3" t="inlineStr">
        <is>
          <t>Sketch</t>
        </is>
      </c>
      <c r="E39" s="3" t="inlineStr">
        <is>
          <t>[overview]
Sketch is a macOS design toolkit made by designers for designers, covering design, prototyping, collaboration and developer handoff for UI/UX designers.</t>
        </is>
      </c>
      <c r="F39" s="4" t="inlineStr">
        <is>
          <t>https://www.sketch.com</t>
        </is>
      </c>
      <c r="G39" s="4" t="inlineStr">
        <is>
          <t>https://www.sketch.com/about-us/</t>
        </is>
      </c>
      <c r="H39" s="3" t="inlineStr">
        <is>
          <t>官网 official / 官网 official</t>
        </is>
      </c>
      <c r="I39" s="3" t="inlineStr">
        <is>
          <t>通过 verified</t>
        </is>
      </c>
      <c r="J39" s="5" t="n"/>
      <c r="K39" s="5" t="n"/>
      <c r="L39" s="5" t="n"/>
      <c r="M39" s="5" t="n"/>
      <c r="N39" s="3">
        <f>IF(COUNTA(J39:M39)&lt;4,"",IF(COUNTIF(J39:M39,"Y")=4,"正确","错误"))</f>
        <v/>
      </c>
      <c r="O39" s="3" t="n"/>
    </row>
    <row r="40">
      <c r="A40" s="3" t="n">
        <v>39</v>
      </c>
      <c r="B40" s="3" t="inlineStr">
        <is>
          <t>Q09</t>
        </is>
      </c>
      <c r="C40" s="3" t="inlineStr">
        <is>
          <t>Figma vs Canva vs Sketch</t>
        </is>
      </c>
      <c r="D40" s="3" t="inlineStr">
        <is>
          <t>Canva</t>
        </is>
      </c>
      <c r="E40" s="3" t="inlineStr">
        <is>
          <t>[news]
5 recent updates
news.google.com: Canva unveiled its first AI image model, which plans designs before generating them.
news.google.com: Canva released its first image generation model, according to TechCrunch.
news.google.com: Canva scaled up threat detection using data it already trusts, per Snowflake.
news.google.com: An activist disrupted Canva's AI event in London, saying 'AI steals from people.'
news.google.com: The American Film Institute named its 2026-2027 Canva Fellowship recipients.</t>
        </is>
      </c>
      <c r="F40" s="4" t="inlineStr">
        <is>
          <t>https://news.google.com/rss/articles/CBMikwFBVV95cUxQR05XNUt3S2l1QkotOUJTMG1HZlpaeWFTXzFFbXZHOFpIa25pODdkTXdvd2VTS2tZb1pKY05ieHB6YUtPLW5DNUpPTzlPc3BDd0dFY3VDSVc3U05VcEV2LVAxVjNfaF9aZGk3bEVCVTlxQ0ZFUExzMWxjUHFTcVpPa1BseW5rdFl1dmN6REd2TkxVWjA?oc=5</t>
        </is>
      </c>
      <c r="G40" s="4" t="inlineStr">
        <is>
          <t>https://news.google.com/rss/articles/CBMiigFBVV95cUxNd21jWkQ5TzJTSGZRdl9YQVBqMWNLR3JRME9XX0JiZUJ4OXRFbjZSeWZ3NTlrT3VPLWhQeElXbzJueHAzU1hhUlB6LXFWQ1MyQXFPcUJ1ZU9Vd0ZjbkFmWjY4Y05JOU9KNGk4d3FIVTA5aFhUeHJueG5RVnhwNjgwcUpMQzBiUUc2OEE?oc=5</t>
        </is>
      </c>
      <c r="H40" s="3" t="inlineStr">
        <is>
          <t>新闻 news / 新闻 news</t>
        </is>
      </c>
      <c r="I40" s="3" t="inlineStr">
        <is>
          <t>通过 verified</t>
        </is>
      </c>
      <c r="J40" s="5" t="n"/>
      <c r="K40" s="5" t="n"/>
      <c r="L40" s="5" t="n"/>
      <c r="M40" s="5" t="n"/>
      <c r="N40" s="3">
        <f>IF(COUNTA(J40:M40)&lt;4,"",IF(COUNTIF(J40:M40,"Y")=4,"正确","错误"))</f>
        <v/>
      </c>
      <c r="O40" s="3" t="n"/>
    </row>
    <row r="41">
      <c r="A41" s="3" t="n">
        <v>40</v>
      </c>
      <c r="B41" s="3" t="inlineStr">
        <is>
          <t>Q10</t>
        </is>
      </c>
      <c r="C41" s="3" t="inlineStr">
        <is>
          <t>查 Linear、Jira 的定价和联系方式</t>
        </is>
      </c>
      <c r="D41" s="3" t="inlineStr">
        <is>
          <t>Linear</t>
        </is>
      </c>
      <c r="E41" s="3" t="inlineStr">
        <is>
          <t>[pricing]
Free $0 / Basic $10 每用户每月 / Business $16 每用户每月 / Enterprise 定制
计价单位: 按每用户每月计费
计费方式: Basic 与 Business 按年计费；Enterprise 仅支持年付
附加成本: Salesforce 集成为付费附加项；Coding sessions 与 Loops 需 AI credits
免费策略: 免费版：成员不限、2 个团队、250 个 issue、10MB 文件上传</t>
        </is>
      </c>
      <c r="F41" s="4" t="inlineStr">
        <is>
          <t>https://linear.app/pricing</t>
        </is>
      </c>
      <c r="G41" s="3" t="inlineStr"/>
      <c r="H41" s="3" t="inlineStr">
        <is>
          <t>官网 official</t>
        </is>
      </c>
      <c r="I41" s="3" t="inlineStr">
        <is>
          <t>通过 verified</t>
        </is>
      </c>
      <c r="J41" s="5" t="n"/>
      <c r="K41" s="5" t="n"/>
      <c r="L41" s="5" t="n"/>
      <c r="M41" s="5" t="n"/>
      <c r="N41" s="3">
        <f>IF(COUNTA(J41:M41)&lt;4,"",IF(COUNTIF(J41:M41,"Y")=4,"正确","错误"))</f>
        <v/>
      </c>
      <c r="O41" s="3" t="n"/>
    </row>
    <row r="42">
      <c r="A42" s="3" t="n">
        <v>41</v>
      </c>
      <c r="B42" s="3" t="inlineStr">
        <is>
          <t>Q10</t>
        </is>
      </c>
      <c r="C42" s="3" t="inlineStr">
        <is>
          <t>查 Linear、Jira 的定价和联系方式</t>
        </is>
      </c>
      <c r="D42" s="3" t="inlineStr">
        <is>
          <t>Linear</t>
        </is>
      </c>
      <c r="E42" s="3" t="inlineStr">
        <is>
          <t>[contact]
销售联系页 Talk to sales；通用咨询邮箱 hello@linear.app</t>
        </is>
      </c>
      <c r="F42" s="4" t="inlineStr">
        <is>
          <t>https://linear.app/contact/sales</t>
        </is>
      </c>
      <c r="G42" s="4" t="inlineStr">
        <is>
          <t>https://linear.app/contact</t>
        </is>
      </c>
      <c r="H42" s="3" t="inlineStr">
        <is>
          <t>官网 official / 官网 official</t>
        </is>
      </c>
      <c r="I42" s="3" t="inlineStr">
        <is>
          <t>通过 verified</t>
        </is>
      </c>
      <c r="J42" s="5" t="n"/>
      <c r="K42" s="5" t="n"/>
      <c r="L42" s="5" t="n"/>
      <c r="M42" s="5" t="n"/>
      <c r="N42" s="3">
        <f>IF(COUNTA(J42:M42)&lt;4,"",IF(COUNTIF(J42:M42,"Y")=4,"正确","错误"))</f>
        <v/>
      </c>
      <c r="O42" s="3" t="n"/>
    </row>
    <row r="43">
      <c r="A43" s="3" t="n">
        <v>42</v>
      </c>
      <c r="B43" s="3" t="inlineStr">
        <is>
          <t>Q02</t>
        </is>
      </c>
      <c r="C43" s="3" t="inlineStr">
        <is>
          <t>查一下 Notion、Coda、ClickUp 的基本信息</t>
        </is>
      </c>
      <c r="D43" s="3" t="inlineStr">
        <is>
          <t>Coda</t>
        </is>
      </c>
      <c r="E43" s="3" t="inlineStr">
        <is>
          <t>[overview]
Coda 是一站式协作工作空间，融合文档、电子表格与应用能力，并内置 Coda AI，面向团队协作与工作管理</t>
        </is>
      </c>
      <c r="F43" s="4" t="inlineStr">
        <is>
          <t>https://coda.io</t>
        </is>
      </c>
      <c r="G43" s="4" t="inlineStr">
        <is>
          <t>https://coda.io/product</t>
        </is>
      </c>
      <c r="H43" s="3" t="inlineStr">
        <is>
          <t>官网 official / 官网 official</t>
        </is>
      </c>
      <c r="I43" s="3" t="inlineStr">
        <is>
          <t>通过 verified</t>
        </is>
      </c>
      <c r="J43" s="5" t="n"/>
      <c r="K43" s="5" t="n"/>
      <c r="L43" s="5" t="n"/>
      <c r="M43" s="5" t="n"/>
      <c r="N43" s="3">
        <f>IF(COUNTA(J43:M43)&lt;4,"",IF(COUNTIF(J43:M43,"Y")=4,"正确","错误"))</f>
        <v/>
      </c>
      <c r="O43" s="3" t="n"/>
    </row>
    <row r="44">
      <c r="A44" s="3" t="n">
        <v>43</v>
      </c>
      <c r="B44" s="3" t="inlineStr">
        <is>
          <t>Q05</t>
        </is>
      </c>
      <c r="C44" s="3" t="inlineStr">
        <is>
          <t>Find competitors of Calendly</t>
        </is>
      </c>
      <c r="D44" s="3" t="inlineStr">
        <is>
          <t>Doodle</t>
        </is>
      </c>
      <c r="E44" s="3" t="inlineStr">
        <is>
          <t>[region]
Switzerland · Zurich (Werdstrasse 21), with offices in Berlin, Belgrade and the US (Atlanta).</t>
        </is>
      </c>
      <c r="F44" s="4" t="inlineStr">
        <is>
          <t>https://help.doodle.com/en/articles/9457354-who-develops-and-operates-doodle</t>
        </is>
      </c>
      <c r="G44" s="4" t="inlineStr">
        <is>
          <t>https://doodle.com/en/website-imprint/</t>
        </is>
      </c>
      <c r="H44" s="3" t="inlineStr">
        <is>
          <t>搜索收录 search / 搜索收录 search</t>
        </is>
      </c>
      <c r="I44" s="3" t="inlineStr">
        <is>
          <t>通过 verified</t>
        </is>
      </c>
      <c r="J44" s="5" t="n"/>
      <c r="K44" s="5" t="n"/>
      <c r="L44" s="5" t="n"/>
      <c r="M44" s="5" t="n"/>
      <c r="N44" s="3">
        <f>IF(COUNTA(J44:M44)&lt;4,"",IF(COUNTIF(J44:M44,"Y")=4,"正确","错误"))</f>
        <v/>
      </c>
      <c r="O44" s="3" t="n"/>
    </row>
    <row r="45">
      <c r="A45" s="3" t="n">
        <v>44</v>
      </c>
      <c r="B45" s="3" t="inlineStr">
        <is>
          <t>Q09</t>
        </is>
      </c>
      <c r="C45" s="3" t="inlineStr">
        <is>
          <t>Figma vs Canva vs Sketch</t>
        </is>
      </c>
      <c r="D45" s="3" t="inlineStr">
        <is>
          <t>Canva</t>
        </is>
      </c>
      <c r="E45" s="3" t="inlineStr">
        <is>
          <t>[features]
Drag-and-drop editor with 1.6M+ templates, photo/video editing, PDF editor, presentations, websites, whiteboards, and Canva AI tools like Magic Write and Magic Resize.</t>
        </is>
      </c>
      <c r="F45" s="4" t="inlineStr">
        <is>
          <t>https://www.canva.com/pricing/</t>
        </is>
      </c>
      <c r="G45" s="4" t="inlineStr">
        <is>
          <t>https://www.canva.com/features/</t>
        </is>
      </c>
      <c r="H45" s="3" t="inlineStr">
        <is>
          <t>官网 official / 官网 official</t>
        </is>
      </c>
      <c r="I45" s="3" t="inlineStr">
        <is>
          <t>通过 verified</t>
        </is>
      </c>
      <c r="J45" s="5" t="n"/>
      <c r="K45" s="5" t="n"/>
      <c r="L45" s="5" t="n"/>
      <c r="M45" s="5" t="n"/>
      <c r="N45" s="3">
        <f>IF(COUNTA(J45:M45)&lt;4,"",IF(COUNTIF(J45:M45,"Y")=4,"正确","错误"))</f>
        <v/>
      </c>
      <c r="O45" s="3" t="n"/>
    </row>
    <row r="46">
      <c r="A46" s="3" t="n">
        <v>45</v>
      </c>
      <c r="B46" s="3" t="inlineStr">
        <is>
          <t>Q09</t>
        </is>
      </c>
      <c r="C46" s="3" t="inlineStr">
        <is>
          <t>Figma vs Canva vs Sketch</t>
        </is>
      </c>
      <c r="D46" s="3" t="inlineStr">
        <is>
          <t>Figma</t>
        </is>
      </c>
      <c r="E46" s="3" t="inlineStr">
        <is>
          <t>[news]
5 recent updates
news.google.com: Figma announced new platform features defining how AI agents operate within its design tools.
news.google.com: Figma's CFO said the company will accept lower margins to drive AI demand.
news.google.com: InfoQ reported how Figma uses AI agents to support its security operations.
news.google.com: Bloomberg interviewed Figma about its bet on AI as the next design workflow.
news.google.com: Figma reported its Q2 earnings, with Yahoo Finance highlighting key metrics.</t>
        </is>
      </c>
      <c r="F46" s="4" t="inlineStr">
        <is>
          <t>https://news.google.com/rss/articles/CBMiqAFBVV95cUxOb3ZuaWwzQlZKUEF6eEdZeEticm9PMG1WdWZGVEI4eWRoaEt4aFhHRGloLVJSdzlzeTJzSlY0SlBnR0czbnN2c05yUFBUVF9QaUR1MEtMNlhacmVYbGIzQm5maEVHY21zOGo0cGp2bGszbUlnSnZ1UzI5bXN4clNEaUFBcVU0NXRIZW5KVTBJTVdJVGxnMTkzcE5FeTV0Y3BFNGtUdmtTdV8?oc=5</t>
        </is>
      </c>
      <c r="G46" s="4" t="inlineStr">
        <is>
          <t>https://news.google.com/rss/articles/CBMitwFBVV95cUxOeVl3TUpFMUJ3Qmd5RmRRLUtienRuSEJia1dtd24wVm5iMHFhbUQ0aFFRUk56cWVJQ01PZmJPVVZBN3JHVGpFTXVNX1ozNElOSGY3MFZ3WTJJYXEwZmIyc21NVjlKRFZRU3hHVTBxNVg5WGpxdmZJcm56cDAtdm1ob0llbmV0VllnNFdlbkcxTTJVUldIYTR6bXp0WHNteW93X0tyT1N4LUtEOGpORlU1eWRDZndJS2M?oc=5</t>
        </is>
      </c>
      <c r="H46" s="3" t="inlineStr">
        <is>
          <t>新闻 news / 新闻 news</t>
        </is>
      </c>
      <c r="I46" s="3" t="inlineStr">
        <is>
          <t>通过 verified</t>
        </is>
      </c>
      <c r="J46" s="5" t="n"/>
      <c r="K46" s="5" t="n"/>
      <c r="L46" s="5" t="n"/>
      <c r="M46" s="5" t="n"/>
      <c r="N46" s="3">
        <f>IF(COUNTA(J46:M46)&lt;4,"",IF(COUNTIF(J46:M46,"Y")=4,"正确","错误"))</f>
        <v/>
      </c>
      <c r="O46" s="3" t="n"/>
    </row>
    <row r="47">
      <c r="A47" s="3" t="n">
        <v>46</v>
      </c>
      <c r="B47" s="3" t="inlineStr">
        <is>
          <t>Q09</t>
        </is>
      </c>
      <c r="C47" s="3" t="inlineStr">
        <is>
          <t>Figma vs Canva vs Sketch</t>
        </is>
      </c>
      <c r="D47" s="3" t="inlineStr">
        <is>
          <t>Canva</t>
        </is>
      </c>
      <c r="E47" s="3" t="inlineStr">
        <is>
          <t>[social]
2 recent posts · Key point: Launch of Canva Craft AI image model
X: Canva introduced Canva Craft, its first frontier image generation model built specifically for design, now available to 
X: Canva announced Canva Craft, a frontier image generation model built for design, is now available to everyone.</t>
        </is>
      </c>
      <c r="F47" s="3" t="inlineStr"/>
      <c r="G47" s="3" t="inlineStr"/>
      <c r="H47" s="3" t="inlineStr"/>
      <c r="I47" s="3" t="inlineStr">
        <is>
          <t>通过 verified</t>
        </is>
      </c>
      <c r="J47" s="5" t="n"/>
      <c r="K47" s="5" t="n"/>
      <c r="L47" s="5" t="n"/>
      <c r="M47" s="5" t="n"/>
      <c r="N47" s="3">
        <f>IF(COUNTA(J47:M47)&lt;4,"",IF(COUNTIF(J47:M47,"Y")=4,"正确","错误"))</f>
        <v/>
      </c>
      <c r="O47" s="3" t="n"/>
    </row>
    <row r="48">
      <c r="A48" s="3" t="n">
        <v>47</v>
      </c>
      <c r="B48" s="3" t="inlineStr">
        <is>
          <t>Q04</t>
        </is>
      </c>
      <c r="C48" s="3" t="inlineStr">
        <is>
          <t>我们做 CRM，帮我查 Salesforce、HubSpot、纷享销客</t>
        </is>
      </c>
      <c r="D48" s="3" t="inlineStr">
        <is>
          <t>纷享销客</t>
        </is>
      </c>
      <c r="E48" s="3" t="inlineStr">
        <is>
          <t>[region]
中国 · 北京中关村，在16个地区设直营机构，含香港及美国分公司</t>
        </is>
      </c>
      <c r="F48" s="4" t="inlineStr">
        <is>
          <t>https://www.fxiaoke.com/crm/about-2/</t>
        </is>
      </c>
      <c r="G48" s="3" t="inlineStr"/>
      <c r="H48" s="3" t="inlineStr">
        <is>
          <t>官网 official</t>
        </is>
      </c>
      <c r="I48" s="3" t="inlineStr">
        <is>
          <t>通过 verified</t>
        </is>
      </c>
      <c r="J48" s="5" t="n"/>
      <c r="K48" s="5" t="n"/>
      <c r="L48" s="5" t="n"/>
      <c r="M48" s="5" t="n"/>
      <c r="N48" s="3">
        <f>IF(COUNTA(J48:M48)&lt;4,"",IF(COUNTIF(J48:M48,"Y")=4,"正确","错误"))</f>
        <v/>
      </c>
      <c r="O48" s="3" t="n"/>
    </row>
    <row r="49">
      <c r="A49" s="3" t="n">
        <v>48</v>
      </c>
      <c r="B49" s="3" t="inlineStr">
        <is>
          <t>Q05</t>
        </is>
      </c>
      <c r="C49" s="3" t="inlineStr">
        <is>
          <t>Find competitors of Calendly</t>
        </is>
      </c>
      <c r="D49" s="3" t="inlineStr">
        <is>
          <t>HubSpot Meetings</t>
        </is>
      </c>
      <c r="E49" s="3" t="inlineStr">
        <is>
          <t>[region]
Founded in Boston, USA; serves businesses around the world.</t>
        </is>
      </c>
      <c r="F49" s="4" t="inlineStr">
        <is>
          <t>https://www.hubspot.com/our-story</t>
        </is>
      </c>
      <c r="G49" s="3" t="inlineStr"/>
      <c r="H49" s="3" t="inlineStr">
        <is>
          <t>官网 official</t>
        </is>
      </c>
      <c r="I49" s="3" t="inlineStr">
        <is>
          <t>通过 verified</t>
        </is>
      </c>
      <c r="J49" s="5" t="n"/>
      <c r="K49" s="5" t="n"/>
      <c r="L49" s="5" t="n"/>
      <c r="M49" s="5" t="n"/>
      <c r="N49" s="3">
        <f>IF(COUNTA(J49:M49)&lt;4,"",IF(COUNTIF(J49:M49,"Y")=4,"正确","错误"))</f>
        <v/>
      </c>
      <c r="O49" s="3" t="n"/>
    </row>
    <row r="50">
      <c r="A50" s="3" t="n">
        <v>49</v>
      </c>
      <c r="B50" s="3" t="inlineStr">
        <is>
          <t>Q04</t>
        </is>
      </c>
      <c r="C50" s="3" t="inlineStr">
        <is>
          <t>我们做 CRM，帮我查 Salesforce、HubSpot、纷享销客</t>
        </is>
      </c>
      <c r="D50" s="3" t="inlineStr">
        <is>
          <t>Salesforce</t>
        </is>
      </c>
      <c r="E50" s="3" t="inlineStr">
        <is>
          <t>[news]
Salesforce在Dreamforce 2026发布企业级AI系统AIforce，员工可通过Claude、Slack等AI界面调取公司数据并完成工作。
news.qq.com: Salesforce在Dreamforce 2026发布企业级AI系统AIforce，员工可通过Claude、Slack等AI界面调取公司数据并完成工作。</t>
        </is>
      </c>
      <c r="F50" s="4" t="inlineStr">
        <is>
          <t>https://news.qq.com/rain/a/20260916A036KX00</t>
        </is>
      </c>
      <c r="G50" s="3" t="inlineStr"/>
      <c r="H50" s="3" t="inlineStr">
        <is>
          <t>新闻 news</t>
        </is>
      </c>
      <c r="I50" s="3" t="inlineStr">
        <is>
          <t>通过 verified</t>
        </is>
      </c>
      <c r="J50" s="5" t="n"/>
      <c r="K50" s="5" t="n"/>
      <c r="L50" s="5" t="n"/>
      <c r="M50" s="5" t="n"/>
      <c r="N50" s="3">
        <f>IF(COUNTA(J50:M50)&lt;4,"",IF(COUNTIF(J50:M50,"Y")=4,"正确","错误"))</f>
        <v/>
      </c>
      <c r="O50" s="3" t="n"/>
    </row>
    <row r="51">
      <c r="A51" s="3" t="n">
        <v>50</v>
      </c>
      <c r="B51" s="3" t="inlineStr">
        <is>
          <t>Q09</t>
        </is>
      </c>
      <c r="C51" s="3" t="inlineStr">
        <is>
          <t>Figma vs Canva vs Sketch</t>
        </is>
      </c>
      <c r="D51" s="3" t="inlineStr">
        <is>
          <t>Canva</t>
        </is>
      </c>
      <c r="E51" s="3" t="inlineStr">
        <is>
          <t>[overview]
Online design and publishing tool launched in 2013, letting anyone create and publish designs, presentations, videos, print and social content.</t>
        </is>
      </c>
      <c r="F51" s="4" t="inlineStr">
        <is>
          <t>https://www.canva.com/about/</t>
        </is>
      </c>
      <c r="G51" s="4" t="inlineStr">
        <is>
          <t>https://www.canva.com/</t>
        </is>
      </c>
      <c r="H51" s="3" t="inlineStr">
        <is>
          <t>官网 official / 搜索收录 search</t>
        </is>
      </c>
      <c r="I51" s="3" t="inlineStr">
        <is>
          <t>通过 verified</t>
        </is>
      </c>
      <c r="J51" s="5" t="n"/>
      <c r="K51" s="5" t="n"/>
      <c r="L51" s="5" t="n"/>
      <c r="M51" s="5" t="n"/>
      <c r="N51" s="3">
        <f>IF(COUNTA(J51:M51)&lt;4,"",IF(COUNTIF(J51:M51,"Y")=4,"正确","错误"))</f>
        <v/>
      </c>
      <c r="O51" s="3" t="n"/>
    </row>
  </sheetData>
  <autoFilter ref="A1:O51"/>
  <conditionalFormatting sqref="N2:N51">
    <cfRule type="expression" priority="1" dxfId="0">
      <formula>N2="错误"</formula>
    </cfRule>
    <cfRule type="expression" priority="2" dxfId="1">
      <formula>N2="正确"</formula>
    </cfRule>
  </conditionalFormatting>
  <dataValidations count="1">
    <dataValidation sqref="J2:M51" showDropDown="0" showInputMessage="0" showErrorMessage="0" allowBlank="1" type="list">
      <formula1>"Y,N"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F5" r:id="rId6"/>
    <hyperlink xmlns:r="http://schemas.openxmlformats.org/officeDocument/2006/relationships" ref="F6" r:id="rId7"/>
    <hyperlink xmlns:r="http://schemas.openxmlformats.org/officeDocument/2006/relationships" ref="G6" r:id="rId8"/>
    <hyperlink xmlns:r="http://schemas.openxmlformats.org/officeDocument/2006/relationships" ref="F7" r:id="rId9"/>
    <hyperlink xmlns:r="http://schemas.openxmlformats.org/officeDocument/2006/relationships" ref="F8" r:id="rId10"/>
    <hyperlink xmlns:r="http://schemas.openxmlformats.org/officeDocument/2006/relationships" ref="F9" r:id="rId11"/>
    <hyperlink xmlns:r="http://schemas.openxmlformats.org/officeDocument/2006/relationships" ref="G9" r:id="rId12"/>
    <hyperlink xmlns:r="http://schemas.openxmlformats.org/officeDocument/2006/relationships" ref="F10" r:id="rId13"/>
    <hyperlink xmlns:r="http://schemas.openxmlformats.org/officeDocument/2006/relationships" ref="G10" r:id="rId14"/>
    <hyperlink xmlns:r="http://schemas.openxmlformats.org/officeDocument/2006/relationships" ref="F11" r:id="rId15"/>
    <hyperlink xmlns:r="http://schemas.openxmlformats.org/officeDocument/2006/relationships" ref="G11" r:id="rId16"/>
    <hyperlink xmlns:r="http://schemas.openxmlformats.org/officeDocument/2006/relationships" ref="F12" r:id="rId17"/>
    <hyperlink xmlns:r="http://schemas.openxmlformats.org/officeDocument/2006/relationships" ref="F13" r:id="rId18"/>
    <hyperlink xmlns:r="http://schemas.openxmlformats.org/officeDocument/2006/relationships" ref="G13" r:id="rId19"/>
    <hyperlink xmlns:r="http://schemas.openxmlformats.org/officeDocument/2006/relationships" ref="F14" r:id="rId20"/>
    <hyperlink xmlns:r="http://schemas.openxmlformats.org/officeDocument/2006/relationships" ref="G14" r:id="rId21"/>
    <hyperlink xmlns:r="http://schemas.openxmlformats.org/officeDocument/2006/relationships" ref="F15" r:id="rId22"/>
    <hyperlink xmlns:r="http://schemas.openxmlformats.org/officeDocument/2006/relationships" ref="G15" r:id="rId23"/>
    <hyperlink xmlns:r="http://schemas.openxmlformats.org/officeDocument/2006/relationships" ref="F16" r:id="rId24"/>
    <hyperlink xmlns:r="http://schemas.openxmlformats.org/officeDocument/2006/relationships" ref="G16" r:id="rId25"/>
    <hyperlink xmlns:r="http://schemas.openxmlformats.org/officeDocument/2006/relationships" ref="F17" r:id="rId26"/>
    <hyperlink xmlns:r="http://schemas.openxmlformats.org/officeDocument/2006/relationships" ref="G17" r:id="rId27"/>
    <hyperlink xmlns:r="http://schemas.openxmlformats.org/officeDocument/2006/relationships" ref="F18" r:id="rId28"/>
    <hyperlink xmlns:r="http://schemas.openxmlformats.org/officeDocument/2006/relationships" ref="F19" r:id="rId29"/>
    <hyperlink xmlns:r="http://schemas.openxmlformats.org/officeDocument/2006/relationships" ref="G19" r:id="rId30"/>
    <hyperlink xmlns:r="http://schemas.openxmlformats.org/officeDocument/2006/relationships" ref="F20" r:id="rId31"/>
    <hyperlink xmlns:r="http://schemas.openxmlformats.org/officeDocument/2006/relationships" ref="G20" r:id="rId32"/>
    <hyperlink xmlns:r="http://schemas.openxmlformats.org/officeDocument/2006/relationships" ref="F21" r:id="rId33"/>
    <hyperlink xmlns:r="http://schemas.openxmlformats.org/officeDocument/2006/relationships" ref="F22" r:id="rId34"/>
    <hyperlink xmlns:r="http://schemas.openxmlformats.org/officeDocument/2006/relationships" ref="G22" r:id="rId35"/>
    <hyperlink xmlns:r="http://schemas.openxmlformats.org/officeDocument/2006/relationships" ref="F23" r:id="rId36"/>
    <hyperlink xmlns:r="http://schemas.openxmlformats.org/officeDocument/2006/relationships" ref="G23" r:id="rId37"/>
    <hyperlink xmlns:r="http://schemas.openxmlformats.org/officeDocument/2006/relationships" ref="F24" r:id="rId38"/>
    <hyperlink xmlns:r="http://schemas.openxmlformats.org/officeDocument/2006/relationships" ref="F25" r:id="rId39"/>
    <hyperlink xmlns:r="http://schemas.openxmlformats.org/officeDocument/2006/relationships" ref="F26" r:id="rId40"/>
    <hyperlink xmlns:r="http://schemas.openxmlformats.org/officeDocument/2006/relationships" ref="F27" r:id="rId41"/>
    <hyperlink xmlns:r="http://schemas.openxmlformats.org/officeDocument/2006/relationships" ref="F28" r:id="rId42"/>
    <hyperlink xmlns:r="http://schemas.openxmlformats.org/officeDocument/2006/relationships" ref="G28" r:id="rId43"/>
    <hyperlink xmlns:r="http://schemas.openxmlformats.org/officeDocument/2006/relationships" ref="F29" r:id="rId44"/>
    <hyperlink xmlns:r="http://schemas.openxmlformats.org/officeDocument/2006/relationships" ref="G29" r:id="rId45"/>
    <hyperlink xmlns:r="http://schemas.openxmlformats.org/officeDocument/2006/relationships" ref="F30" r:id="rId46"/>
    <hyperlink xmlns:r="http://schemas.openxmlformats.org/officeDocument/2006/relationships" ref="G30" r:id="rId47"/>
    <hyperlink xmlns:r="http://schemas.openxmlformats.org/officeDocument/2006/relationships" ref="F31" r:id="rId48"/>
    <hyperlink xmlns:r="http://schemas.openxmlformats.org/officeDocument/2006/relationships" ref="F32" r:id="rId49"/>
    <hyperlink xmlns:r="http://schemas.openxmlformats.org/officeDocument/2006/relationships" ref="G32" r:id="rId50"/>
    <hyperlink xmlns:r="http://schemas.openxmlformats.org/officeDocument/2006/relationships" ref="F33" r:id="rId51"/>
    <hyperlink xmlns:r="http://schemas.openxmlformats.org/officeDocument/2006/relationships" ref="G33" r:id="rId52"/>
    <hyperlink xmlns:r="http://schemas.openxmlformats.org/officeDocument/2006/relationships" ref="F34" r:id="rId53"/>
    <hyperlink xmlns:r="http://schemas.openxmlformats.org/officeDocument/2006/relationships" ref="G34" r:id="rId54"/>
    <hyperlink xmlns:r="http://schemas.openxmlformats.org/officeDocument/2006/relationships" ref="F35" r:id="rId55"/>
    <hyperlink xmlns:r="http://schemas.openxmlformats.org/officeDocument/2006/relationships" ref="G35" r:id="rId56"/>
    <hyperlink xmlns:r="http://schemas.openxmlformats.org/officeDocument/2006/relationships" ref="F36" r:id="rId57"/>
    <hyperlink xmlns:r="http://schemas.openxmlformats.org/officeDocument/2006/relationships" ref="F37" r:id="rId58"/>
    <hyperlink xmlns:r="http://schemas.openxmlformats.org/officeDocument/2006/relationships" ref="G37" r:id="rId59"/>
    <hyperlink xmlns:r="http://schemas.openxmlformats.org/officeDocument/2006/relationships" ref="F38" r:id="rId60"/>
    <hyperlink xmlns:r="http://schemas.openxmlformats.org/officeDocument/2006/relationships" ref="G38" r:id="rId61"/>
    <hyperlink xmlns:r="http://schemas.openxmlformats.org/officeDocument/2006/relationships" ref="F39" r:id="rId62"/>
    <hyperlink xmlns:r="http://schemas.openxmlformats.org/officeDocument/2006/relationships" ref="G39" r:id="rId63"/>
    <hyperlink xmlns:r="http://schemas.openxmlformats.org/officeDocument/2006/relationships" ref="F40" r:id="rId64"/>
    <hyperlink xmlns:r="http://schemas.openxmlformats.org/officeDocument/2006/relationships" ref="G40" r:id="rId65"/>
    <hyperlink xmlns:r="http://schemas.openxmlformats.org/officeDocument/2006/relationships" ref="F41" r:id="rId66"/>
    <hyperlink xmlns:r="http://schemas.openxmlformats.org/officeDocument/2006/relationships" ref="F42" r:id="rId67"/>
    <hyperlink xmlns:r="http://schemas.openxmlformats.org/officeDocument/2006/relationships" ref="G42" r:id="rId68"/>
    <hyperlink xmlns:r="http://schemas.openxmlformats.org/officeDocument/2006/relationships" ref="F43" r:id="rId69"/>
    <hyperlink xmlns:r="http://schemas.openxmlformats.org/officeDocument/2006/relationships" ref="G43" r:id="rId70"/>
    <hyperlink xmlns:r="http://schemas.openxmlformats.org/officeDocument/2006/relationships" ref="F44" r:id="rId71"/>
    <hyperlink xmlns:r="http://schemas.openxmlformats.org/officeDocument/2006/relationships" ref="G44" r:id="rId72"/>
    <hyperlink xmlns:r="http://schemas.openxmlformats.org/officeDocument/2006/relationships" ref="F45" r:id="rId73"/>
    <hyperlink xmlns:r="http://schemas.openxmlformats.org/officeDocument/2006/relationships" ref="G45" r:id="rId74"/>
    <hyperlink xmlns:r="http://schemas.openxmlformats.org/officeDocument/2006/relationships" ref="F46" r:id="rId75"/>
    <hyperlink xmlns:r="http://schemas.openxmlformats.org/officeDocument/2006/relationships" ref="G46" r:id="rId76"/>
    <hyperlink xmlns:r="http://schemas.openxmlformats.org/officeDocument/2006/relationships" ref="F48" r:id="rId77"/>
    <hyperlink xmlns:r="http://schemas.openxmlformats.org/officeDocument/2006/relationships" ref="F49" r:id="rId78"/>
    <hyperlink xmlns:r="http://schemas.openxmlformats.org/officeDocument/2006/relationships" ref="F50" r:id="rId79"/>
    <hyperlink xmlns:r="http://schemas.openxmlformats.org/officeDocument/2006/relationships" ref="F51" r:id="rId80"/>
    <hyperlink xmlns:r="http://schemas.openxmlformats.org/officeDocument/2006/relationships" ref="G51" r:id="rId8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2" customWidth="1" min="1" max="1"/>
    <col width="26" customWidth="1" min="2" max="2"/>
  </cols>
  <sheetData>
    <row r="1">
      <c r="A1" s="6" t="inlineStr">
        <is>
          <t>项目 Item</t>
        </is>
      </c>
      <c r="B1" s="6" t="inlineStr">
        <is>
          <t>值 Value</t>
        </is>
      </c>
    </row>
    <row r="2">
      <c r="A2" t="inlineStr">
        <is>
          <t>已核对条数 Audited</t>
        </is>
      </c>
      <c r="B2">
        <f>COUNTIF('核对 Audit'!N2:N51,"正确")+COUNTIF('核对 Audit'!N2:N51,"错误")</f>
        <v/>
      </c>
    </row>
    <row r="3">
      <c r="A3" t="inlineStr">
        <is>
          <t>正确 Correct</t>
        </is>
      </c>
      <c r="B3">
        <f>COUNTIF('核对 Audit'!N2:N51,"正确")</f>
        <v/>
      </c>
    </row>
    <row r="4">
      <c r="A4" t="inlineStr">
        <is>
          <t>错误 Wrong</t>
        </is>
      </c>
      <c r="B4">
        <f>COUNTIF('核对 Audit'!N2:N51,"错误")</f>
        <v/>
      </c>
    </row>
    <row r="5">
      <c r="A5" t="inlineStr">
        <is>
          <t>正确率 Correct rate</t>
        </is>
      </c>
      <c r="B5" s="7">
        <f>IF(B2=0,"",B3/B2)</f>
        <v/>
      </c>
    </row>
    <row r="6">
      <c r="A6" t="inlineStr">
        <is>
          <t>门槛 Threshold (measure 1)</t>
        </is>
      </c>
      <c r="B6" s="8" t="n">
        <v>0.9</v>
      </c>
    </row>
    <row r="7">
      <c r="A7" t="inlineStr">
        <is>
          <t>结论 Verdict</t>
        </is>
      </c>
      <c r="B7">
        <f>IF(B2&lt;50,"未完成 incomplete",IF(B5&gt;=0.9,"达成 MET",IF(B5&lt;0.8,"证伪 FALSIFIED (F1)","未达成 MISSED")))</f>
        <v/>
      </c>
    </row>
    <row r="8">
      <c r="A8" t="inlineStr"/>
      <c r="B8" t="inlineStr"/>
    </row>
    <row r="9">
      <c r="A9" t="inlineStr">
        <is>
          <t>其中：官网来源正确率 official-source rows</t>
        </is>
      </c>
      <c r="B9" s="7">
        <f>IFERROR(COUNTIFS('核对 Audit'!H2:H51,"官网*",'核对 Audit'!N2:N51,"正确")/(COUNTIFS('核对 Audit'!H2:H51,"官网*",'核对 Audit'!N2:N51,"正确")+COUNTIFS('核对 Audit'!H2:H51,"官网*",'核对 Audit'!N2:N51,"错误")),"")</f>
        <v/>
      </c>
    </row>
    <row r="10">
      <c r="A10" t="inlineStr">
        <is>
          <t>各项未通过 J 链接</t>
        </is>
      </c>
      <c r="B10">
        <f>COUNTIF('核对 Audit'!J2:J51,"N")</f>
        <v/>
      </c>
    </row>
    <row r="11">
      <c r="A11" t="inlineStr">
        <is>
          <t>各项未通过 K 原文</t>
        </is>
      </c>
      <c r="B11">
        <f>COUNTIF('核对 Audit'!K2:K51,"N")</f>
        <v/>
      </c>
    </row>
    <row r="12">
      <c r="A12" t="inlineStr">
        <is>
          <t>各项未通过 L 来源/标注</t>
        </is>
      </c>
      <c r="B12">
        <f>COUNTIF('核对 Audit'!L2:L51,"N")</f>
        <v/>
      </c>
    </row>
    <row r="13">
      <c r="A13" t="inlineStr">
        <is>
          <t>各项未通过 M 数值</t>
        </is>
      </c>
      <c r="B13">
        <f>COUNTIF('核对 Audit'!M2:M51,"N")</f>
        <v/>
      </c>
    </row>
    <row r="14">
      <c r="A14" t="inlineStr"/>
      <c r="B14" t="inlineStr"/>
    </row>
    <row r="15">
      <c r="A15" t="inlineStr">
        <is>
          <t>开始时间 Start (例 2026-10-27 10:00)</t>
        </is>
      </c>
      <c r="B15" s="9" t="n"/>
    </row>
    <row r="16">
      <c r="A16" t="inlineStr">
        <is>
          <t>结束时间 End</t>
        </is>
      </c>
      <c r="B16" s="9" t="n"/>
    </row>
    <row r="17">
      <c r="A17" t="inlineStr">
        <is>
          <t>核对用时（分钟）Audit minutes</t>
        </is>
      </c>
      <c r="B17">
        <f>IF(OR(B15="",B16=""),"",ROUND((B16-B15)*1440,0))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2026-10-26T12:47:07Z</dcterms:created>
  <dcterms:modified xmlns:dcterms="http://purl.org/dc/terms/" xmlns:xsi="http://www.w3.org/2001/XMLSchema-instance" xsi:type="dcterms:W3CDTF">2026-10-26T12:47:08Z</dcterms:modified>
</cp:coreProperties>
</file>